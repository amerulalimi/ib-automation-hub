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Orders_Auto" sheetId="4" state="visible" r:id="rId4"/>
    <sheet xmlns:r="http://schemas.openxmlformats.org/officeDocument/2006/relationships" name="Deals_Auto" sheetId="5" state="visible" r:id="rId5"/>
    <sheet xmlns:r="http://schemas.openxmlformats.org/officeDocument/2006/relationships" name="Formula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yyyy.mm.dd hh:mm:ss"/>
    <numFmt numFmtId="166" formatCode="yyyy-mm-dd h:mm:ss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b val="1"/>
      <sz val="13"/>
    </font>
    <font>
      <color rgb="00666666"/>
    </font>
    <font>
      <b val="1"/>
      <color rgb="00FFFFFF"/>
    </font>
    <font>
      <color rgb="0000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8" fillId="0" borderId="0" pivotButton="0" quotePrefix="0" xfId="0"/>
    <xf numFmtId="165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MT5 Template Controls</t>
        </is>
      </c>
    </row>
    <row r="3">
      <c r="A3" s="2" t="inlineStr">
        <is>
          <t>Start Balance</t>
        </is>
      </c>
      <c r="B3" s="3" t="n">
        <v>88.15000000000001</v>
      </c>
    </row>
    <row r="4">
      <c r="A4" s="2" t="inlineStr">
        <is>
          <t>Deposits</t>
        </is>
      </c>
      <c r="B4" s="3" t="n">
        <v>0</v>
      </c>
    </row>
    <row r="5">
      <c r="A5" s="2" t="inlineStr">
        <is>
          <t>Withdrawals</t>
        </is>
      </c>
      <c r="B5" s="3" t="n">
        <v>0</v>
      </c>
    </row>
    <row r="6">
      <c r="A6" s="2" t="inlineStr">
        <is>
          <t>Credit Facility</t>
        </is>
      </c>
      <c r="B6" s="3" t="n">
        <v>0</v>
      </c>
    </row>
    <row r="7">
      <c r="A7" s="2" t="inlineStr">
        <is>
          <t>Floating P/L</t>
        </is>
      </c>
      <c r="B7" s="3" t="n">
        <v>0</v>
      </c>
    </row>
    <row r="8">
      <c r="A8" s="2" t="inlineStr">
        <is>
          <t>Margin</t>
        </is>
      </c>
      <c r="B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0" customWidth="1" min="12" max="12"/>
    <col width="1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14" customWidth="1" min="19" max="19"/>
    <col width="10" customWidth="1" min="20" max="20"/>
    <col width="10" customWidth="1" min="21" max="21"/>
    <col width="14" customWidth="1" min="22" max="22"/>
    <col width="14" customWidth="1" min="23" max="23"/>
    <col width="8" customWidth="1" min="24" max="24"/>
    <col width="11" customWidth="1" min="25" max="25"/>
    <col width="12" customWidth="1" min="26" max="26"/>
    <col width="12" customWidth="1" min="27" max="27"/>
    <col width="9" customWidth="1" min="28" max="28"/>
    <col width="11" customWidth="1" min="29" max="29"/>
    <col width="10" customWidth="1" min="30" max="30"/>
    <col width="10" customWidth="1" min="31" max="31"/>
    <col width="14" customWidth="1" min="32" max="32"/>
    <col width="9" customWidth="1" min="33" max="33"/>
    <col width="11" customWidth="1" min="34" max="34"/>
    <col width="9" customWidth="1" min="35" max="35"/>
    <col width="11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4" t="inlineStr">
        <is>
          <t>Positions (edit here only)</t>
        </is>
      </c>
    </row>
    <row r="2">
      <c r="A2" s="5" t="inlineStr">
        <is>
          <t>Fill A:X. Y:AN auto. 5 sample positions from report are preloaded.</t>
        </is>
      </c>
    </row>
    <row r="5">
      <c r="A5" s="6" t="inlineStr">
        <is>
          <t>Open Time</t>
        </is>
      </c>
      <c r="B5" s="6" t="inlineStr">
        <is>
          <t>Position</t>
        </is>
      </c>
      <c r="C5" s="6" t="inlineStr">
        <is>
          <t>Symbol</t>
        </is>
      </c>
      <c r="D5" s="6" t="inlineStr">
        <is>
          <t>Type</t>
        </is>
      </c>
      <c r="E5" s="6" t="inlineStr">
        <is>
          <t>Volume</t>
        </is>
      </c>
      <c r="F5" s="6" t="inlineStr">
        <is>
          <t>Open Price</t>
        </is>
      </c>
      <c r="G5" s="6" t="inlineStr">
        <is>
          <t>S/L</t>
        </is>
      </c>
      <c r="H5" s="6" t="inlineStr">
        <is>
          <t>T/P</t>
        </is>
      </c>
      <c r="I5" s="6" t="inlineStr">
        <is>
          <t>Close Time</t>
        </is>
      </c>
      <c r="J5" s="6" t="inlineStr">
        <is>
          <t>Close Price</t>
        </is>
      </c>
      <c r="K5" s="6" t="inlineStr">
        <is>
          <t>Commission</t>
        </is>
      </c>
      <c r="L5" s="6" t="inlineStr">
        <is>
          <t>Swap</t>
        </is>
      </c>
      <c r="M5" s="6" t="inlineStr">
        <is>
          <t>Profit</t>
        </is>
      </c>
      <c r="N5" s="6" t="inlineStr">
        <is>
          <t>Entry Order ID (opt)</t>
        </is>
      </c>
      <c r="O5" s="6" t="inlineStr">
        <is>
          <t>Exit Order ID (opt)</t>
        </is>
      </c>
      <c r="P5" s="6" t="inlineStr">
        <is>
          <t>Entry Deal ID (opt)</t>
        </is>
      </c>
      <c r="Q5" s="6" t="inlineStr">
        <is>
          <t>Exit Deal ID (opt)</t>
        </is>
      </c>
      <c r="R5" s="6" t="inlineStr">
        <is>
          <t>Entry Order Price (opt)</t>
        </is>
      </c>
      <c r="S5" s="6" t="inlineStr">
        <is>
          <t>Exit Order Price (opt)</t>
        </is>
      </c>
      <c r="T5" s="6" t="inlineStr">
        <is>
          <t>Entry State</t>
        </is>
      </c>
      <c r="U5" s="6" t="inlineStr">
        <is>
          <t>Exit State</t>
        </is>
      </c>
      <c r="V5" s="6" t="inlineStr">
        <is>
          <t>Comment In</t>
        </is>
      </c>
      <c r="W5" s="6" t="inlineStr">
        <is>
          <t>Comment Out</t>
        </is>
      </c>
      <c r="X5" s="6" t="inlineStr">
        <is>
          <t>Fee</t>
        </is>
      </c>
      <c r="Y5" s="6" t="inlineStr">
        <is>
          <t>Net P/L</t>
        </is>
      </c>
      <c r="Z5" s="6" t="inlineStr">
        <is>
          <t>Balance Before</t>
        </is>
      </c>
      <c r="AA5" s="6" t="inlineStr">
        <is>
          <t>Balance After</t>
        </is>
      </c>
      <c r="AB5" s="6" t="inlineStr">
        <is>
          <t>Result Flag</t>
        </is>
      </c>
      <c r="AC5" s="6" t="inlineStr">
        <is>
          <t>Peak Balance</t>
        </is>
      </c>
      <c r="AD5" s="6" t="inlineStr">
        <is>
          <t>DD Abs</t>
        </is>
      </c>
      <c r="AE5" s="6" t="inlineStr">
        <is>
          <t>DD Rel</t>
        </is>
      </c>
      <c r="AF5" s="6" t="inlineStr">
        <is>
          <t>Abs DD From Start</t>
        </is>
      </c>
      <c r="AG5" s="6" t="inlineStr">
        <is>
          <t>Win Streak</t>
        </is>
      </c>
      <c r="AH5" s="6" t="inlineStr">
        <is>
          <t>Win Streak $</t>
        </is>
      </c>
      <c r="AI5" s="6" t="inlineStr">
        <is>
          <t>Loss Streak</t>
        </is>
      </c>
      <c r="AJ5" s="6" t="inlineStr">
        <is>
          <t>Loss Streak $</t>
        </is>
      </c>
      <c r="AK5" s="6" t="inlineStr">
        <is>
          <t>Win End Cnt</t>
        </is>
      </c>
      <c r="AL5" s="6" t="inlineStr">
        <is>
          <t>Win End $</t>
        </is>
      </c>
      <c r="AM5" s="6" t="inlineStr">
        <is>
          <t>Loss End Cnt</t>
        </is>
      </c>
      <c r="AN5" s="6" t="inlineStr">
        <is>
          <t>Loss End $</t>
        </is>
      </c>
    </row>
    <row r="6">
      <c r="A6" s="7" t="n">
        <v>46055.42777777778</v>
      </c>
      <c r="B6" s="8" t="n">
        <v>765479379</v>
      </c>
      <c r="C6" s="9" t="inlineStr">
        <is>
          <t>XAUUSD.vx</t>
        </is>
      </c>
      <c r="D6" s="9" t="inlineStr">
        <is>
          <t>buy</t>
        </is>
      </c>
      <c r="E6" s="10" t="n">
        <v>0.01</v>
      </c>
      <c r="F6" s="10" t="n">
        <v>4603.83</v>
      </c>
      <c r="G6" s="10" t="n"/>
      <c r="H6" s="10" t="n"/>
      <c r="I6" s="7" t="n">
        <v>46055.42947916667</v>
      </c>
      <c r="J6" s="10" t="n">
        <v>4618.31</v>
      </c>
      <c r="K6" s="10" t="n">
        <v>0</v>
      </c>
      <c r="L6" s="10" t="n">
        <v>0</v>
      </c>
      <c r="M6" s="10" t="n">
        <v>14.48</v>
      </c>
      <c r="N6" s="8" t="n">
        <v>765479379</v>
      </c>
      <c r="O6" s="8" t="n">
        <v>765499754</v>
      </c>
      <c r="P6" s="8" t="n">
        <v>784550662</v>
      </c>
      <c r="Q6" s="8" t="n">
        <v>784571138</v>
      </c>
      <c r="R6" s="8" t="inlineStr">
        <is>
          <t>market</t>
        </is>
      </c>
      <c r="S6" s="8" t="inlineStr">
        <is>
          <t>market</t>
        </is>
      </c>
      <c r="T6" s="9" t="inlineStr">
        <is>
          <t>filled</t>
        </is>
      </c>
      <c r="U6" s="9" t="inlineStr">
        <is>
          <t>filled</t>
        </is>
      </c>
      <c r="V6" s="9" t="inlineStr"/>
      <c r="W6" s="9" t="inlineStr"/>
      <c r="X6" s="10" t="n">
        <v>0</v>
      </c>
      <c r="Y6" s="11">
        <f>IF($B6="","",$K6+$L6+$M6-$X6)</f>
        <v/>
      </c>
      <c r="Z6" s="11">
        <f>IF($B6="","",IF(ROW()=6,Inputs!$B$3+Inputs!$B$4-Inputs!$B$5,$AA5))</f>
        <v/>
      </c>
      <c r="AA6" s="11">
        <f>IF($B6="","",$Z6+$Y6)</f>
        <v/>
      </c>
      <c r="AB6" s="12">
        <f>IF($B6="","",IF($Y6&gt;0,1,IF($Y6&lt;0,-1,0)))</f>
        <v/>
      </c>
      <c r="AC6" s="11">
        <f>IF($B6="","",MAX($AA$6:$AA6))</f>
        <v/>
      </c>
      <c r="AD6" s="11">
        <f>IF($B6="","",$AC6-$AA6)</f>
        <v/>
      </c>
      <c r="AE6" s="13">
        <f>IF($B6="","",IF($AC6=0,0,$AD6/$AC6))</f>
        <v/>
      </c>
      <c r="AF6" s="12">
        <f>IF($B6="","",MAX(0,(Inputs!$B$3+Inputs!$B$4-Inputs!$B$5)-$AA6))</f>
        <v/>
      </c>
      <c r="AG6" s="12">
        <f>IF($B6="","",IF($AB6=1,1,0))</f>
        <v/>
      </c>
      <c r="AH6" s="11">
        <f>IF($B6="","",IF($AB6=1,$Y6,0))</f>
        <v/>
      </c>
      <c r="AI6" s="12">
        <f>IF($B6="","",IF($AB6=-1,1,0))</f>
        <v/>
      </c>
      <c r="AJ6" s="11">
        <f>IF($B6="","",IF($AB6=-1,ABS($Y6),0))</f>
        <v/>
      </c>
      <c r="AK6" s="12">
        <f>IF($B6="","",IF(AND($AG6&gt;0,OR($AB7&lt;&gt;1,$B7="")),$AG6,""))</f>
        <v/>
      </c>
      <c r="AL6" s="11">
        <f>IF($B6="","",IF(AND($AH6&gt;0,OR($AB7&lt;&gt;1,$B7="")),$AH6,""))</f>
        <v/>
      </c>
      <c r="AM6" s="12">
        <f>IF($B6="","",IF(AND($AI6&gt;0,OR($AB7&lt;&gt;-1,$B7="")),$AI6,""))</f>
        <v/>
      </c>
      <c r="AN6" s="11">
        <f>IF($B6="","",IF(AND($AJ6&gt;0,OR($AB7&lt;&gt;-1,$B7="")),$AJ6,""))</f>
        <v/>
      </c>
    </row>
    <row r="7">
      <c r="A7" s="7" t="n">
        <v>46055.66461805555</v>
      </c>
      <c r="B7" s="8" t="n">
        <v>768732488</v>
      </c>
      <c r="C7" s="9" t="inlineStr">
        <is>
          <t>XAUUSD.vx</t>
        </is>
      </c>
      <c r="D7" s="9" t="inlineStr">
        <is>
          <t>buy</t>
        </is>
      </c>
      <c r="E7" s="10" t="n">
        <v>0.01</v>
      </c>
      <c r="F7" s="10" t="n">
        <v>4706.46</v>
      </c>
      <c r="G7" s="10" t="n"/>
      <c r="H7" s="10" t="n"/>
      <c r="I7" s="7" t="n">
        <v>46055.66616898148</v>
      </c>
      <c r="J7" s="10" t="n">
        <v>4708.37</v>
      </c>
      <c r="K7" s="10" t="n">
        <v>0</v>
      </c>
      <c r="L7" s="10" t="n">
        <v>0</v>
      </c>
      <c r="M7" s="10" t="n">
        <v>1.91</v>
      </c>
      <c r="N7" s="8" t="n">
        <v>768732488</v>
      </c>
      <c r="O7" s="8" t="n">
        <v>768750116</v>
      </c>
      <c r="P7" s="8" t="n">
        <v>787806152</v>
      </c>
      <c r="Q7" s="8" t="n">
        <v>787823039</v>
      </c>
      <c r="R7" s="8" t="inlineStr">
        <is>
          <t>market</t>
        </is>
      </c>
      <c r="S7" s="8" t="inlineStr">
        <is>
          <t>market</t>
        </is>
      </c>
      <c r="T7" s="9" t="inlineStr">
        <is>
          <t>filled</t>
        </is>
      </c>
      <c r="U7" s="9" t="inlineStr">
        <is>
          <t>filled</t>
        </is>
      </c>
      <c r="V7" s="9" t="inlineStr"/>
      <c r="W7" s="9" t="inlineStr"/>
      <c r="X7" s="10" t="n">
        <v>0</v>
      </c>
      <c r="Y7" s="11">
        <f>IF($B7="","",$K7+$L7+$M7-$X7)</f>
        <v/>
      </c>
      <c r="Z7" s="11">
        <f>IF($B7="","",IF(ROW()=6,Inputs!$B$3+Inputs!$B$4-Inputs!$B$5,$AA6))</f>
        <v/>
      </c>
      <c r="AA7" s="11">
        <f>IF($B7="","",$Z7+$Y7)</f>
        <v/>
      </c>
      <c r="AB7" s="12">
        <f>IF($B7="","",IF($Y7&gt;0,1,IF($Y7&lt;0,-1,0)))</f>
        <v/>
      </c>
      <c r="AC7" s="11">
        <f>IF($B7="","",MAX($AA$6:$AA7))</f>
        <v/>
      </c>
      <c r="AD7" s="11">
        <f>IF($B7="","",$AC7-$AA7)</f>
        <v/>
      </c>
      <c r="AE7" s="13">
        <f>IF($B7="","",IF($AC7=0,0,$AD7/$AC7))</f>
        <v/>
      </c>
      <c r="AF7" s="12">
        <f>IF($B7="","",MAX(0,(Inputs!$B$3+Inputs!$B$4-Inputs!$B$5)-$AA7))</f>
        <v/>
      </c>
      <c r="AG7" s="12">
        <f>IF($B7="","",IF($AB7=1,IF($AB6=1,$AG6+1,1),0))</f>
        <v/>
      </c>
      <c r="AH7" s="11">
        <f>IF($B7="","",IF($AB7=1,IF($AB6=1,$AH6+$Y7,$Y7),0))</f>
        <v/>
      </c>
      <c r="AI7" s="12">
        <f>IF($B7="","",IF($AB7=-1,IF($AB6=-1,$AI6+1,1),0))</f>
        <v/>
      </c>
      <c r="AJ7" s="11">
        <f>IF($B7="","",IF($AB7=-1,IF($AB6=-1,$AJ6+ABS($Y7),ABS($Y7)),0))</f>
        <v/>
      </c>
      <c r="AK7" s="12">
        <f>IF($B7="","",IF(AND($AG7&gt;0,OR($AB8&lt;&gt;1,$B8="")),$AG7,""))</f>
        <v/>
      </c>
      <c r="AL7" s="11">
        <f>IF($B7="","",IF(AND($AH7&gt;0,OR($AB8&lt;&gt;1,$B8="")),$AH7,""))</f>
        <v/>
      </c>
      <c r="AM7" s="12">
        <f>IF($B7="","",IF(AND($AI7&gt;0,OR($AB8&lt;&gt;-1,$B8="")),$AI7,""))</f>
        <v/>
      </c>
      <c r="AN7" s="11">
        <f>IF($B7="","",IF(AND($AJ7&gt;0,OR($AB8&lt;&gt;-1,$B8="")),$AJ7,""))</f>
        <v/>
      </c>
    </row>
    <row r="8">
      <c r="A8" s="7" t="n">
        <v>46055.7609837963</v>
      </c>
      <c r="B8" s="8" t="n">
        <v>770503986</v>
      </c>
      <c r="C8" s="9" t="inlineStr">
        <is>
          <t>XAUUSD.vx</t>
        </is>
      </c>
      <c r="D8" s="9" t="inlineStr">
        <is>
          <t>sell</t>
        </is>
      </c>
      <c r="E8" s="10" t="n">
        <v>0.01</v>
      </c>
      <c r="F8" s="10" t="n">
        <v>4694.62</v>
      </c>
      <c r="G8" s="10" t="n"/>
      <c r="H8" s="10" t="n"/>
      <c r="I8" s="7" t="n">
        <v>46055.76136574074</v>
      </c>
      <c r="J8" s="10" t="n">
        <v>4689.84</v>
      </c>
      <c r="K8" s="10" t="n">
        <v>0</v>
      </c>
      <c r="L8" s="10" t="n">
        <v>0</v>
      </c>
      <c r="M8" s="10" t="n">
        <v>4.78</v>
      </c>
      <c r="N8" s="8" t="n">
        <v>770503986</v>
      </c>
      <c r="O8" s="8" t="n">
        <v>770511666</v>
      </c>
      <c r="P8" s="8" t="n">
        <v>789621273</v>
      </c>
      <c r="Q8" s="8" t="n">
        <v>789628723</v>
      </c>
      <c r="R8" s="8" t="inlineStr">
        <is>
          <t>market</t>
        </is>
      </c>
      <c r="S8" s="8" t="inlineStr">
        <is>
          <t>market</t>
        </is>
      </c>
      <c r="T8" s="9" t="inlineStr">
        <is>
          <t>filled</t>
        </is>
      </c>
      <c r="U8" s="9" t="inlineStr">
        <is>
          <t>filled</t>
        </is>
      </c>
      <c r="V8" s="9" t="inlineStr"/>
      <c r="W8" s="9" t="inlineStr"/>
      <c r="X8" s="10" t="n">
        <v>0</v>
      </c>
      <c r="Y8" s="11">
        <f>IF($B8="","",$K8+$L8+$M8-$X8)</f>
        <v/>
      </c>
      <c r="Z8" s="11">
        <f>IF($B8="","",IF(ROW()=6,Inputs!$B$3+Inputs!$B$4-Inputs!$B$5,$AA7))</f>
        <v/>
      </c>
      <c r="AA8" s="11">
        <f>IF($B8="","",$Z8+$Y8)</f>
        <v/>
      </c>
      <c r="AB8" s="12">
        <f>IF($B8="","",IF($Y8&gt;0,1,IF($Y8&lt;0,-1,0)))</f>
        <v/>
      </c>
      <c r="AC8" s="11">
        <f>IF($B8="","",MAX($AA$6:$AA8))</f>
        <v/>
      </c>
      <c r="AD8" s="11">
        <f>IF($B8="","",$AC8-$AA8)</f>
        <v/>
      </c>
      <c r="AE8" s="13">
        <f>IF($B8="","",IF($AC8=0,0,$AD8/$AC8))</f>
        <v/>
      </c>
      <c r="AF8" s="12">
        <f>IF($B8="","",MAX(0,(Inputs!$B$3+Inputs!$B$4-Inputs!$B$5)-$AA8))</f>
        <v/>
      </c>
      <c r="AG8" s="12">
        <f>IF($B8="","",IF($AB8=1,IF($AB7=1,$AG7+1,1),0))</f>
        <v/>
      </c>
      <c r="AH8" s="11">
        <f>IF($B8="","",IF($AB8=1,IF($AB7=1,$AH7+$Y8,$Y8),0))</f>
        <v/>
      </c>
      <c r="AI8" s="12">
        <f>IF($B8="","",IF($AB8=-1,IF($AB7=-1,$AI7+1,1),0))</f>
        <v/>
      </c>
      <c r="AJ8" s="11">
        <f>IF($B8="","",IF($AB8=-1,IF($AB7=-1,$AJ7+ABS($Y8),ABS($Y8)),0))</f>
        <v/>
      </c>
      <c r="AK8" s="12">
        <f>IF($B8="","",IF(AND($AG8&gt;0,OR($AB9&lt;&gt;1,$B9="")),$AG8,""))</f>
        <v/>
      </c>
      <c r="AL8" s="11">
        <f>IF($B8="","",IF(AND($AH8&gt;0,OR($AB9&lt;&gt;1,$B9="")),$AH8,""))</f>
        <v/>
      </c>
      <c r="AM8" s="12">
        <f>IF($B8="","",IF(AND($AI8&gt;0,OR($AB9&lt;&gt;-1,$B9="")),$AI8,""))</f>
        <v/>
      </c>
      <c r="AN8" s="11">
        <f>IF($B8="","",IF(AND($AJ8&gt;0,OR($AB9&lt;&gt;-1,$B9="")),$AJ8,""))</f>
        <v/>
      </c>
    </row>
    <row r="9">
      <c r="A9" s="7" t="n">
        <v>46056.26793981482</v>
      </c>
      <c r="B9" s="8" t="n">
        <v>774201034</v>
      </c>
      <c r="C9" s="9" t="inlineStr">
        <is>
          <t>XAUUSD.vx</t>
        </is>
      </c>
      <c r="D9" s="9" t="inlineStr">
        <is>
          <t>sell</t>
        </is>
      </c>
      <c r="E9" s="10" t="n">
        <v>0.01</v>
      </c>
      <c r="F9" s="10" t="n">
        <v>4806.93</v>
      </c>
      <c r="G9" s="10" t="n"/>
      <c r="H9" s="10" t="n"/>
      <c r="I9" s="7" t="n">
        <v>46056.27167824074</v>
      </c>
      <c r="J9" s="10" t="n">
        <v>4812.3</v>
      </c>
      <c r="K9" s="10" t="n">
        <v>0</v>
      </c>
      <c r="L9" s="10" t="n">
        <v>0</v>
      </c>
      <c r="M9" s="10" t="n">
        <v>-5.37</v>
      </c>
      <c r="N9" s="8" t="n">
        <v>774201034</v>
      </c>
      <c r="O9" s="8" t="n">
        <v>774231256</v>
      </c>
      <c r="P9" s="8" t="n">
        <v>793300215</v>
      </c>
      <c r="Q9" s="8" t="n">
        <v>793329073</v>
      </c>
      <c r="R9" s="8" t="inlineStr">
        <is>
          <t>market</t>
        </is>
      </c>
      <c r="S9" s="8" t="inlineStr">
        <is>
          <t>market</t>
        </is>
      </c>
      <c r="T9" s="9" t="inlineStr">
        <is>
          <t>filled</t>
        </is>
      </c>
      <c r="U9" s="9" t="inlineStr">
        <is>
          <t>filled</t>
        </is>
      </c>
      <c r="V9" s="9" t="inlineStr"/>
      <c r="W9" s="9" t="inlineStr"/>
      <c r="X9" s="10" t="n">
        <v>0</v>
      </c>
      <c r="Y9" s="11">
        <f>IF($B9="","",$K9+$L9+$M9-$X9)</f>
        <v/>
      </c>
      <c r="Z9" s="11">
        <f>IF($B9="","",IF(ROW()=6,Inputs!$B$3+Inputs!$B$4-Inputs!$B$5,$AA8))</f>
        <v/>
      </c>
      <c r="AA9" s="11">
        <f>IF($B9="","",$Z9+$Y9)</f>
        <v/>
      </c>
      <c r="AB9" s="12">
        <f>IF($B9="","",IF($Y9&gt;0,1,IF($Y9&lt;0,-1,0)))</f>
        <v/>
      </c>
      <c r="AC9" s="11">
        <f>IF($B9="","",MAX($AA$6:$AA9))</f>
        <v/>
      </c>
      <c r="AD9" s="11">
        <f>IF($B9="","",$AC9-$AA9)</f>
        <v/>
      </c>
      <c r="AE9" s="13">
        <f>IF($B9="","",IF($AC9=0,0,$AD9/$AC9))</f>
        <v/>
      </c>
      <c r="AF9" s="12">
        <f>IF($B9="","",MAX(0,(Inputs!$B$3+Inputs!$B$4-Inputs!$B$5)-$AA9))</f>
        <v/>
      </c>
      <c r="AG9" s="12">
        <f>IF($B9="","",IF($AB9=1,IF($AB8=1,$AG8+1,1),0))</f>
        <v/>
      </c>
      <c r="AH9" s="11">
        <f>IF($B9="","",IF($AB9=1,IF($AB8=1,$AH8+$Y9,$Y9),0))</f>
        <v/>
      </c>
      <c r="AI9" s="12">
        <f>IF($B9="","",IF($AB9=-1,IF($AB8=-1,$AI8+1,1),0))</f>
        <v/>
      </c>
      <c r="AJ9" s="11">
        <f>IF($B9="","",IF($AB9=-1,IF($AB8=-1,$AJ8+ABS($Y9),ABS($Y9)),0))</f>
        <v/>
      </c>
      <c r="AK9" s="12">
        <f>IF($B9="","",IF(AND($AG9&gt;0,OR($AB10&lt;&gt;1,$B10="")),$AG9,""))</f>
        <v/>
      </c>
      <c r="AL9" s="11">
        <f>IF($B9="","",IF(AND($AH9&gt;0,OR($AB10&lt;&gt;1,$B10="")),$AH9,""))</f>
        <v/>
      </c>
      <c r="AM9" s="12">
        <f>IF($B9="","",IF(AND($AI9&gt;0,OR($AB10&lt;&gt;-1,$B10="")),$AI9,""))</f>
        <v/>
      </c>
      <c r="AN9" s="11">
        <f>IF($B9="","",IF(AND($AJ9&gt;0,OR($AB10&lt;&gt;-1,$B10="")),$AJ9,""))</f>
        <v/>
      </c>
    </row>
    <row r="10">
      <c r="A10" s="7" t="n">
        <v>46056.26827546296</v>
      </c>
      <c r="B10" s="8" t="n">
        <v>774204559</v>
      </c>
      <c r="C10" s="9" t="inlineStr">
        <is>
          <t>XAUUSD.vx</t>
        </is>
      </c>
      <c r="D10" s="9" t="inlineStr">
        <is>
          <t>sell</t>
        </is>
      </c>
      <c r="E10" s="10" t="n">
        <v>0.01</v>
      </c>
      <c r="F10" s="10" t="n">
        <v>4810.56</v>
      </c>
      <c r="G10" s="10" t="n"/>
      <c r="H10" s="10" t="n"/>
      <c r="I10" s="7" t="n">
        <v>46056.27168981481</v>
      </c>
      <c r="J10" s="10" t="n">
        <v>4812.66</v>
      </c>
      <c r="K10" s="10" t="n">
        <v>0</v>
      </c>
      <c r="L10" s="10" t="n">
        <v>0</v>
      </c>
      <c r="M10" s="10" t="n">
        <v>-2.1</v>
      </c>
      <c r="N10" s="8" t="n">
        <v>774204559</v>
      </c>
      <c r="O10" s="8" t="n">
        <v>774231284</v>
      </c>
      <c r="P10" s="8" t="n">
        <v>793303619</v>
      </c>
      <c r="Q10" s="8" t="n">
        <v>793329104</v>
      </c>
      <c r="R10" s="8" t="inlineStr">
        <is>
          <t>market</t>
        </is>
      </c>
      <c r="S10" s="8" t="inlineStr">
        <is>
          <t>market</t>
        </is>
      </c>
      <c r="T10" s="9" t="inlineStr">
        <is>
          <t>filled</t>
        </is>
      </c>
      <c r="U10" s="9" t="inlineStr">
        <is>
          <t>filled</t>
        </is>
      </c>
      <c r="V10" s="9" t="inlineStr"/>
      <c r="W10" s="9" t="inlineStr"/>
      <c r="X10" s="10" t="n">
        <v>0</v>
      </c>
      <c r="Y10" s="11">
        <f>IF($B10="","",$K10+$L10+$M10-$X10)</f>
        <v/>
      </c>
      <c r="Z10" s="11">
        <f>IF($B10="","",IF(ROW()=6,Inputs!$B$3+Inputs!$B$4-Inputs!$B$5,$AA9))</f>
        <v/>
      </c>
      <c r="AA10" s="11">
        <f>IF($B10="","",$Z10+$Y10)</f>
        <v/>
      </c>
      <c r="AB10" s="12">
        <f>IF($B10="","",IF($Y10&gt;0,1,IF($Y10&lt;0,-1,0)))</f>
        <v/>
      </c>
      <c r="AC10" s="11">
        <f>IF($B10="","",MAX($AA$6:$AA10))</f>
        <v/>
      </c>
      <c r="AD10" s="11">
        <f>IF($B10="","",$AC10-$AA10)</f>
        <v/>
      </c>
      <c r="AE10" s="13">
        <f>IF($B10="","",IF($AC10=0,0,$AD10/$AC10))</f>
        <v/>
      </c>
      <c r="AF10" s="12">
        <f>IF($B10="","",MAX(0,(Inputs!$B$3+Inputs!$B$4-Inputs!$B$5)-$AA10))</f>
        <v/>
      </c>
      <c r="AG10" s="12">
        <f>IF($B10="","",IF($AB10=1,IF($AB9=1,$AG9+1,1),0))</f>
        <v/>
      </c>
      <c r="AH10" s="11">
        <f>IF($B10="","",IF($AB10=1,IF($AB9=1,$AH9+$Y10,$Y10),0))</f>
        <v/>
      </c>
      <c r="AI10" s="12">
        <f>IF($B10="","",IF($AB10=-1,IF($AB9=-1,$AI9+1,1),0))</f>
        <v/>
      </c>
      <c r="AJ10" s="11">
        <f>IF($B10="","",IF($AB10=-1,IF($AB9=-1,$AJ9+ABS($Y10),ABS($Y10)),0))</f>
        <v/>
      </c>
      <c r="AK10" s="12">
        <f>IF($B10="","",IF(AND($AG10&gt;0,OR($AB11&lt;&gt;1,$B11="")),$AG10,""))</f>
        <v/>
      </c>
      <c r="AL10" s="11">
        <f>IF($B10="","",IF(AND($AH10&gt;0,OR($AB11&lt;&gt;1,$B11="")),$AH10,""))</f>
        <v/>
      </c>
      <c r="AM10" s="12">
        <f>IF($B10="","",IF(AND($AI10&gt;0,OR($AB11&lt;&gt;-1,$B11="")),$AI10,""))</f>
        <v/>
      </c>
      <c r="AN10" s="11">
        <f>IF($B10="","",IF(AND($AJ10&gt;0,OR($AB11&lt;&gt;-1,$B11="")),$AJ10,""))</f>
        <v/>
      </c>
    </row>
    <row r="11">
      <c r="A11" s="7" t="n"/>
      <c r="B11" s="8" t="n"/>
      <c r="C11" s="9" t="n"/>
      <c r="D11" s="9" t="n"/>
      <c r="E11" s="10" t="n"/>
      <c r="F11" s="10" t="n"/>
      <c r="G11" s="10" t="n"/>
      <c r="H11" s="10" t="n"/>
      <c r="I11" s="7" t="n"/>
      <c r="J11" s="10" t="n"/>
      <c r="K11" s="10" t="n"/>
      <c r="L11" s="10" t="n"/>
      <c r="M11" s="10" t="n"/>
      <c r="N11" s="8" t="n"/>
      <c r="O11" s="8" t="n"/>
      <c r="P11" s="8" t="n"/>
      <c r="Q11" s="8" t="n"/>
      <c r="R11" s="8" t="n"/>
      <c r="S11" s="8" t="n"/>
      <c r="T11" s="9" t="n"/>
      <c r="U11" s="9" t="n"/>
      <c r="V11" s="9" t="n"/>
      <c r="W11" s="9" t="n"/>
      <c r="X11" s="10" t="n"/>
      <c r="Y11" s="11">
        <f>IF($B11="","",$K11+$L11+$M11-$X11)</f>
        <v/>
      </c>
      <c r="Z11" s="11">
        <f>IF($B11="","",IF(ROW()=6,Inputs!$B$3+Inputs!$B$4-Inputs!$B$5,$AA10))</f>
        <v/>
      </c>
      <c r="AA11" s="11">
        <f>IF($B11="","",$Z11+$Y11)</f>
        <v/>
      </c>
      <c r="AB11" s="12">
        <f>IF($B11="","",IF($Y11&gt;0,1,IF($Y11&lt;0,-1,0)))</f>
        <v/>
      </c>
      <c r="AC11" s="11">
        <f>IF($B11="","",MAX($AA$6:$AA11))</f>
        <v/>
      </c>
      <c r="AD11" s="11">
        <f>IF($B11="","",$AC11-$AA11)</f>
        <v/>
      </c>
      <c r="AE11" s="13">
        <f>IF($B11="","",IF($AC11=0,0,$AD11/$AC11))</f>
        <v/>
      </c>
      <c r="AF11" s="12">
        <f>IF($B11="","",MAX(0,(Inputs!$B$3+Inputs!$B$4-Inputs!$B$5)-$AA11))</f>
        <v/>
      </c>
      <c r="AG11" s="12">
        <f>IF($B11="","",IF($AB11=1,IF($AB10=1,$AG10+1,1),0))</f>
        <v/>
      </c>
      <c r="AH11" s="11">
        <f>IF($B11="","",IF($AB11=1,IF($AB10=1,$AH10+$Y11,$Y11),0))</f>
        <v/>
      </c>
      <c r="AI11" s="12">
        <f>IF($B11="","",IF($AB11=-1,IF($AB10=-1,$AI10+1,1),0))</f>
        <v/>
      </c>
      <c r="AJ11" s="11">
        <f>IF($B11="","",IF($AB11=-1,IF($AB10=-1,$AJ10+ABS($Y11),ABS($Y11)),0))</f>
        <v/>
      </c>
      <c r="AK11" s="12">
        <f>IF($B11="","",IF(AND($AG11&gt;0,OR($AB12&lt;&gt;1,$B12="")),$AG11,""))</f>
        <v/>
      </c>
      <c r="AL11" s="11">
        <f>IF($B11="","",IF(AND($AH11&gt;0,OR($AB12&lt;&gt;1,$B12="")),$AH11,""))</f>
        <v/>
      </c>
      <c r="AM11" s="12">
        <f>IF($B11="","",IF(AND($AI11&gt;0,OR($AB12&lt;&gt;-1,$B12="")),$AI11,""))</f>
        <v/>
      </c>
      <c r="AN11" s="11">
        <f>IF($B11="","",IF(AND($AJ11&gt;0,OR($AB12&lt;&gt;-1,$B12="")),$AJ11,""))</f>
        <v/>
      </c>
    </row>
    <row r="12">
      <c r="A12" s="7" t="n"/>
      <c r="B12" s="8" t="n"/>
      <c r="C12" s="9" t="n"/>
      <c r="D12" s="9" t="n"/>
      <c r="E12" s="10" t="n"/>
      <c r="F12" s="10" t="n"/>
      <c r="G12" s="10" t="n"/>
      <c r="H12" s="10" t="n"/>
      <c r="I12" s="7" t="n"/>
      <c r="J12" s="10" t="n"/>
      <c r="K12" s="10" t="n"/>
      <c r="L12" s="10" t="n"/>
      <c r="M12" s="10" t="n"/>
      <c r="N12" s="8" t="n"/>
      <c r="O12" s="8" t="n"/>
      <c r="P12" s="8" t="n"/>
      <c r="Q12" s="8" t="n"/>
      <c r="R12" s="8" t="n"/>
      <c r="S12" s="8" t="n"/>
      <c r="T12" s="9" t="n"/>
      <c r="U12" s="9" t="n"/>
      <c r="V12" s="9" t="n"/>
      <c r="W12" s="9" t="n"/>
      <c r="X12" s="10" t="n"/>
      <c r="Y12" s="11">
        <f>IF($B12="","",$K12+$L12+$M12-$X12)</f>
        <v/>
      </c>
      <c r="Z12" s="11">
        <f>IF($B12="","",IF(ROW()=6,Inputs!$B$3+Inputs!$B$4-Inputs!$B$5,$AA11))</f>
        <v/>
      </c>
      <c r="AA12" s="11">
        <f>IF($B12="","",$Z12+$Y12)</f>
        <v/>
      </c>
      <c r="AB12" s="12">
        <f>IF($B12="","",IF($Y12&gt;0,1,IF($Y12&lt;0,-1,0)))</f>
        <v/>
      </c>
      <c r="AC12" s="11">
        <f>IF($B12="","",MAX($AA$6:$AA12))</f>
        <v/>
      </c>
      <c r="AD12" s="11">
        <f>IF($B12="","",$AC12-$AA12)</f>
        <v/>
      </c>
      <c r="AE12" s="13">
        <f>IF($B12="","",IF($AC12=0,0,$AD12/$AC12))</f>
        <v/>
      </c>
      <c r="AF12" s="12">
        <f>IF($B12="","",MAX(0,(Inputs!$B$3+Inputs!$B$4-Inputs!$B$5)-$AA12))</f>
        <v/>
      </c>
      <c r="AG12" s="12">
        <f>IF($B12="","",IF($AB12=1,IF($AB11=1,$AG11+1,1),0))</f>
        <v/>
      </c>
      <c r="AH12" s="11">
        <f>IF($B12="","",IF($AB12=1,IF($AB11=1,$AH11+$Y12,$Y12),0))</f>
        <v/>
      </c>
      <c r="AI12" s="12">
        <f>IF($B12="","",IF($AB12=-1,IF($AB11=-1,$AI11+1,1),0))</f>
        <v/>
      </c>
      <c r="AJ12" s="11">
        <f>IF($B12="","",IF($AB12=-1,IF($AB11=-1,$AJ11+ABS($Y12),ABS($Y12)),0))</f>
        <v/>
      </c>
      <c r="AK12" s="12">
        <f>IF($B12="","",IF(AND($AG12&gt;0,OR($AB13&lt;&gt;1,$B13="")),$AG12,""))</f>
        <v/>
      </c>
      <c r="AL12" s="11">
        <f>IF($B12="","",IF(AND($AH12&gt;0,OR($AB13&lt;&gt;1,$B13="")),$AH12,""))</f>
        <v/>
      </c>
      <c r="AM12" s="12">
        <f>IF($B12="","",IF(AND($AI12&gt;0,OR($AB13&lt;&gt;-1,$B13="")),$AI12,""))</f>
        <v/>
      </c>
      <c r="AN12" s="11">
        <f>IF($B12="","",IF(AND($AJ12&gt;0,OR($AB13&lt;&gt;-1,$B13="")),$AJ12,""))</f>
        <v/>
      </c>
    </row>
    <row r="13">
      <c r="A13" s="7" t="n"/>
      <c r="B13" s="8" t="n"/>
      <c r="C13" s="9" t="n"/>
      <c r="D13" s="9" t="n"/>
      <c r="E13" s="10" t="n"/>
      <c r="F13" s="10" t="n"/>
      <c r="G13" s="10" t="n"/>
      <c r="H13" s="10" t="n"/>
      <c r="I13" s="7" t="n"/>
      <c r="J13" s="10" t="n"/>
      <c r="K13" s="10" t="n"/>
      <c r="L13" s="10" t="n"/>
      <c r="M13" s="10" t="n"/>
      <c r="N13" s="8" t="n"/>
      <c r="O13" s="8" t="n"/>
      <c r="P13" s="8" t="n"/>
      <c r="Q13" s="8" t="n"/>
      <c r="R13" s="8" t="n"/>
      <c r="S13" s="8" t="n"/>
      <c r="T13" s="9" t="n"/>
      <c r="U13" s="9" t="n"/>
      <c r="V13" s="9" t="n"/>
      <c r="W13" s="9" t="n"/>
      <c r="X13" s="10" t="n"/>
      <c r="Y13" s="11">
        <f>IF($B13="","",$K13+$L13+$M13-$X13)</f>
        <v/>
      </c>
      <c r="Z13" s="11">
        <f>IF($B13="","",IF(ROW()=6,Inputs!$B$3+Inputs!$B$4-Inputs!$B$5,$AA12))</f>
        <v/>
      </c>
      <c r="AA13" s="11">
        <f>IF($B13="","",$Z13+$Y13)</f>
        <v/>
      </c>
      <c r="AB13" s="12">
        <f>IF($B13="","",IF($Y13&gt;0,1,IF($Y13&lt;0,-1,0)))</f>
        <v/>
      </c>
      <c r="AC13" s="11">
        <f>IF($B13="","",MAX($AA$6:$AA13))</f>
        <v/>
      </c>
      <c r="AD13" s="11">
        <f>IF($B13="","",$AC13-$AA13)</f>
        <v/>
      </c>
      <c r="AE13" s="13">
        <f>IF($B13="","",IF($AC13=0,0,$AD13/$AC13))</f>
        <v/>
      </c>
      <c r="AF13" s="12">
        <f>IF($B13="","",MAX(0,(Inputs!$B$3+Inputs!$B$4-Inputs!$B$5)-$AA13))</f>
        <v/>
      </c>
      <c r="AG13" s="12">
        <f>IF($B13="","",IF($AB13=1,IF($AB12=1,$AG12+1,1),0))</f>
        <v/>
      </c>
      <c r="AH13" s="11">
        <f>IF($B13="","",IF($AB13=1,IF($AB12=1,$AH12+$Y13,$Y13),0))</f>
        <v/>
      </c>
      <c r="AI13" s="12">
        <f>IF($B13="","",IF($AB13=-1,IF($AB12=-1,$AI12+1,1),0))</f>
        <v/>
      </c>
      <c r="AJ13" s="11">
        <f>IF($B13="","",IF($AB13=-1,IF($AB12=-1,$AJ12+ABS($Y13),ABS($Y13)),0))</f>
        <v/>
      </c>
      <c r="AK13" s="12">
        <f>IF($B13="","",IF(AND($AG13&gt;0,OR($AB14&lt;&gt;1,$B14="")),$AG13,""))</f>
        <v/>
      </c>
      <c r="AL13" s="11">
        <f>IF($B13="","",IF(AND($AH13&gt;0,OR($AB14&lt;&gt;1,$B14="")),$AH13,""))</f>
        <v/>
      </c>
      <c r="AM13" s="12">
        <f>IF($B13="","",IF(AND($AI13&gt;0,OR($AB14&lt;&gt;-1,$B14="")),$AI13,""))</f>
        <v/>
      </c>
      <c r="AN13" s="11">
        <f>IF($B13="","",IF(AND($AJ13&gt;0,OR($AB14&lt;&gt;-1,$B14="")),$AJ13,""))</f>
        <v/>
      </c>
    </row>
    <row r="14">
      <c r="A14" s="7" t="n"/>
      <c r="B14" s="8" t="n"/>
      <c r="C14" s="9" t="n"/>
      <c r="D14" s="9" t="n"/>
      <c r="E14" s="10" t="n"/>
      <c r="F14" s="10" t="n"/>
      <c r="G14" s="10" t="n"/>
      <c r="H14" s="10" t="n"/>
      <c r="I14" s="7" t="n"/>
      <c r="J14" s="10" t="n"/>
      <c r="K14" s="10" t="n"/>
      <c r="L14" s="10" t="n"/>
      <c r="M14" s="10" t="n"/>
      <c r="N14" s="8" t="n"/>
      <c r="O14" s="8" t="n"/>
      <c r="P14" s="8" t="n"/>
      <c r="Q14" s="8" t="n"/>
      <c r="R14" s="8" t="n"/>
      <c r="S14" s="8" t="n"/>
      <c r="T14" s="9" t="n"/>
      <c r="U14" s="9" t="n"/>
      <c r="V14" s="9" t="n"/>
      <c r="W14" s="9" t="n"/>
      <c r="X14" s="10" t="n"/>
      <c r="Y14" s="11">
        <f>IF($B14="","",$K14+$L14+$M14-$X14)</f>
        <v/>
      </c>
      <c r="Z14" s="11">
        <f>IF($B14="","",IF(ROW()=6,Inputs!$B$3+Inputs!$B$4-Inputs!$B$5,$AA13))</f>
        <v/>
      </c>
      <c r="AA14" s="11">
        <f>IF($B14="","",$Z14+$Y14)</f>
        <v/>
      </c>
      <c r="AB14" s="12">
        <f>IF($B14="","",IF($Y14&gt;0,1,IF($Y14&lt;0,-1,0)))</f>
        <v/>
      </c>
      <c r="AC14" s="11">
        <f>IF($B14="","",MAX($AA$6:$AA14))</f>
        <v/>
      </c>
      <c r="AD14" s="11">
        <f>IF($B14="","",$AC14-$AA14)</f>
        <v/>
      </c>
      <c r="AE14" s="13">
        <f>IF($B14="","",IF($AC14=0,0,$AD14/$AC14))</f>
        <v/>
      </c>
      <c r="AF14" s="12">
        <f>IF($B14="","",MAX(0,(Inputs!$B$3+Inputs!$B$4-Inputs!$B$5)-$AA14))</f>
        <v/>
      </c>
      <c r="AG14" s="12">
        <f>IF($B14="","",IF($AB14=1,IF($AB13=1,$AG13+1,1),0))</f>
        <v/>
      </c>
      <c r="AH14" s="11">
        <f>IF($B14="","",IF($AB14=1,IF($AB13=1,$AH13+$Y14,$Y14),0))</f>
        <v/>
      </c>
      <c r="AI14" s="12">
        <f>IF($B14="","",IF($AB14=-1,IF($AB13=-1,$AI13+1,1),0))</f>
        <v/>
      </c>
      <c r="AJ14" s="11">
        <f>IF($B14="","",IF($AB14=-1,IF($AB13=-1,$AJ13+ABS($Y14),ABS($Y14)),0))</f>
        <v/>
      </c>
      <c r="AK14" s="12">
        <f>IF($B14="","",IF(AND($AG14&gt;0,OR($AB15&lt;&gt;1,$B15="")),$AG14,""))</f>
        <v/>
      </c>
      <c r="AL14" s="11">
        <f>IF($B14="","",IF(AND($AH14&gt;0,OR($AB15&lt;&gt;1,$B15="")),$AH14,""))</f>
        <v/>
      </c>
      <c r="AM14" s="12">
        <f>IF($B14="","",IF(AND($AI14&gt;0,OR($AB15&lt;&gt;-1,$B15="")),$AI14,""))</f>
        <v/>
      </c>
      <c r="AN14" s="11">
        <f>IF($B14="","",IF(AND($AJ14&gt;0,OR($AB15&lt;&gt;-1,$B15="")),$AJ14,""))</f>
        <v/>
      </c>
    </row>
    <row r="15">
      <c r="A15" s="7" t="n"/>
      <c r="B15" s="8" t="n"/>
      <c r="C15" s="9" t="n"/>
      <c r="D15" s="9" t="n"/>
      <c r="E15" s="10" t="n"/>
      <c r="F15" s="10" t="n"/>
      <c r="G15" s="10" t="n"/>
      <c r="H15" s="10" t="n"/>
      <c r="I15" s="7" t="n"/>
      <c r="J15" s="10" t="n"/>
      <c r="K15" s="10" t="n"/>
      <c r="L15" s="10" t="n"/>
      <c r="M15" s="10" t="n"/>
      <c r="N15" s="8" t="n"/>
      <c r="O15" s="8" t="n"/>
      <c r="P15" s="8" t="n"/>
      <c r="Q15" s="8" t="n"/>
      <c r="R15" s="8" t="n"/>
      <c r="S15" s="8" t="n"/>
      <c r="T15" s="9" t="n"/>
      <c r="U15" s="9" t="n"/>
      <c r="V15" s="9" t="n"/>
      <c r="W15" s="9" t="n"/>
      <c r="X15" s="10" t="n"/>
      <c r="Y15" s="11">
        <f>IF($B15="","",$K15+$L15+$M15-$X15)</f>
        <v/>
      </c>
      <c r="Z15" s="11">
        <f>IF($B15="","",IF(ROW()=6,Inputs!$B$3+Inputs!$B$4-Inputs!$B$5,$AA14))</f>
        <v/>
      </c>
      <c r="AA15" s="11">
        <f>IF($B15="","",$Z15+$Y15)</f>
        <v/>
      </c>
      <c r="AB15" s="12">
        <f>IF($B15="","",IF($Y15&gt;0,1,IF($Y15&lt;0,-1,0)))</f>
        <v/>
      </c>
      <c r="AC15" s="11">
        <f>IF($B15="","",MAX($AA$6:$AA15))</f>
        <v/>
      </c>
      <c r="AD15" s="11">
        <f>IF($B15="","",$AC15-$AA15)</f>
        <v/>
      </c>
      <c r="AE15" s="13">
        <f>IF($B15="","",IF($AC15=0,0,$AD15/$AC15))</f>
        <v/>
      </c>
      <c r="AF15" s="12">
        <f>IF($B15="","",MAX(0,(Inputs!$B$3+Inputs!$B$4-Inputs!$B$5)-$AA15))</f>
        <v/>
      </c>
      <c r="AG15" s="12">
        <f>IF($B15="","",IF($AB15=1,IF($AB14=1,$AG14+1,1),0))</f>
        <v/>
      </c>
      <c r="AH15" s="11">
        <f>IF($B15="","",IF($AB15=1,IF($AB14=1,$AH14+$Y15,$Y15),0))</f>
        <v/>
      </c>
      <c r="AI15" s="12">
        <f>IF($B15="","",IF($AB15=-1,IF($AB14=-1,$AI14+1,1),0))</f>
        <v/>
      </c>
      <c r="AJ15" s="11">
        <f>IF($B15="","",IF($AB15=-1,IF($AB14=-1,$AJ14+ABS($Y15),ABS($Y15)),0))</f>
        <v/>
      </c>
      <c r="AK15" s="12">
        <f>IF($B15="","",IF(AND($AG15&gt;0,OR($AB16&lt;&gt;1,$B16="")),$AG15,""))</f>
        <v/>
      </c>
      <c r="AL15" s="11">
        <f>IF($B15="","",IF(AND($AH15&gt;0,OR($AB16&lt;&gt;1,$B16="")),$AH15,""))</f>
        <v/>
      </c>
      <c r="AM15" s="12">
        <f>IF($B15="","",IF(AND($AI15&gt;0,OR($AB16&lt;&gt;-1,$B16="")),$AI15,""))</f>
        <v/>
      </c>
      <c r="AN15" s="11">
        <f>IF($B15="","",IF(AND($AJ15&gt;0,OR($AB16&lt;&gt;-1,$B16="")),$AJ15,""))</f>
        <v/>
      </c>
    </row>
    <row r="16">
      <c r="A16" s="7" t="n"/>
      <c r="B16" s="8" t="n"/>
      <c r="C16" s="9" t="n"/>
      <c r="D16" s="9" t="n"/>
      <c r="E16" s="10" t="n"/>
      <c r="F16" s="10" t="n"/>
      <c r="G16" s="10" t="n"/>
      <c r="H16" s="10" t="n"/>
      <c r="I16" s="7" t="n"/>
      <c r="J16" s="10" t="n"/>
      <c r="K16" s="10" t="n"/>
      <c r="L16" s="10" t="n"/>
      <c r="M16" s="10" t="n"/>
      <c r="N16" s="8" t="n"/>
      <c r="O16" s="8" t="n"/>
      <c r="P16" s="8" t="n"/>
      <c r="Q16" s="8" t="n"/>
      <c r="R16" s="8" t="n"/>
      <c r="S16" s="8" t="n"/>
      <c r="T16" s="9" t="n"/>
      <c r="U16" s="9" t="n"/>
      <c r="V16" s="9" t="n"/>
      <c r="W16" s="9" t="n"/>
      <c r="X16" s="10" t="n"/>
      <c r="Y16" s="11">
        <f>IF($B16="","",$K16+$L16+$M16-$X16)</f>
        <v/>
      </c>
      <c r="Z16" s="11">
        <f>IF($B16="","",IF(ROW()=6,Inputs!$B$3+Inputs!$B$4-Inputs!$B$5,$AA15))</f>
        <v/>
      </c>
      <c r="AA16" s="11">
        <f>IF($B16="","",$Z16+$Y16)</f>
        <v/>
      </c>
      <c r="AB16" s="12">
        <f>IF($B16="","",IF($Y16&gt;0,1,IF($Y16&lt;0,-1,0)))</f>
        <v/>
      </c>
      <c r="AC16" s="11">
        <f>IF($B16="","",MAX($AA$6:$AA16))</f>
        <v/>
      </c>
      <c r="AD16" s="11">
        <f>IF($B16="","",$AC16-$AA16)</f>
        <v/>
      </c>
      <c r="AE16" s="13">
        <f>IF($B16="","",IF($AC16=0,0,$AD16/$AC16))</f>
        <v/>
      </c>
      <c r="AF16" s="12">
        <f>IF($B16="","",MAX(0,(Inputs!$B$3+Inputs!$B$4-Inputs!$B$5)-$AA16))</f>
        <v/>
      </c>
      <c r="AG16" s="12">
        <f>IF($B16="","",IF($AB16=1,IF($AB15=1,$AG15+1,1),0))</f>
        <v/>
      </c>
      <c r="AH16" s="11">
        <f>IF($B16="","",IF($AB16=1,IF($AB15=1,$AH15+$Y16,$Y16),0))</f>
        <v/>
      </c>
      <c r="AI16" s="12">
        <f>IF($B16="","",IF($AB16=-1,IF($AB15=-1,$AI15+1,1),0))</f>
        <v/>
      </c>
      <c r="AJ16" s="11">
        <f>IF($B16="","",IF($AB16=-1,IF($AB15=-1,$AJ15+ABS($Y16),ABS($Y16)),0))</f>
        <v/>
      </c>
      <c r="AK16" s="12">
        <f>IF($B16="","",IF(AND($AG16&gt;0,OR($AB17&lt;&gt;1,$B17="")),$AG16,""))</f>
        <v/>
      </c>
      <c r="AL16" s="11">
        <f>IF($B16="","",IF(AND($AH16&gt;0,OR($AB17&lt;&gt;1,$B17="")),$AH16,""))</f>
        <v/>
      </c>
      <c r="AM16" s="12">
        <f>IF($B16="","",IF(AND($AI16&gt;0,OR($AB17&lt;&gt;-1,$B17="")),$AI16,""))</f>
        <v/>
      </c>
      <c r="AN16" s="11">
        <f>IF($B16="","",IF(AND($AJ16&gt;0,OR($AB17&lt;&gt;-1,$B17="")),$AJ16,""))</f>
        <v/>
      </c>
    </row>
    <row r="17">
      <c r="A17" s="7" t="n"/>
      <c r="B17" s="8" t="n"/>
      <c r="C17" s="9" t="n"/>
      <c r="D17" s="9" t="n"/>
      <c r="E17" s="10" t="n"/>
      <c r="F17" s="10" t="n"/>
      <c r="G17" s="10" t="n"/>
      <c r="H17" s="10" t="n"/>
      <c r="I17" s="7" t="n"/>
      <c r="J17" s="10" t="n"/>
      <c r="K17" s="10" t="n"/>
      <c r="L17" s="10" t="n"/>
      <c r="M17" s="10" t="n"/>
      <c r="N17" s="8" t="n"/>
      <c r="O17" s="8" t="n"/>
      <c r="P17" s="8" t="n"/>
      <c r="Q17" s="8" t="n"/>
      <c r="R17" s="8" t="n"/>
      <c r="S17" s="8" t="n"/>
      <c r="T17" s="9" t="n"/>
      <c r="U17" s="9" t="n"/>
      <c r="V17" s="9" t="n"/>
      <c r="W17" s="9" t="n"/>
      <c r="X17" s="10" t="n"/>
      <c r="Y17" s="11">
        <f>IF($B17="","",$K17+$L17+$M17-$X17)</f>
        <v/>
      </c>
      <c r="Z17" s="11">
        <f>IF($B17="","",IF(ROW()=6,Inputs!$B$3+Inputs!$B$4-Inputs!$B$5,$AA16))</f>
        <v/>
      </c>
      <c r="AA17" s="11">
        <f>IF($B17="","",$Z17+$Y17)</f>
        <v/>
      </c>
      <c r="AB17" s="12">
        <f>IF($B17="","",IF($Y17&gt;0,1,IF($Y17&lt;0,-1,0)))</f>
        <v/>
      </c>
      <c r="AC17" s="11">
        <f>IF($B17="","",MAX($AA$6:$AA17))</f>
        <v/>
      </c>
      <c r="AD17" s="11">
        <f>IF($B17="","",$AC17-$AA17)</f>
        <v/>
      </c>
      <c r="AE17" s="13">
        <f>IF($B17="","",IF($AC17=0,0,$AD17/$AC17))</f>
        <v/>
      </c>
      <c r="AF17" s="12">
        <f>IF($B17="","",MAX(0,(Inputs!$B$3+Inputs!$B$4-Inputs!$B$5)-$AA17))</f>
        <v/>
      </c>
      <c r="AG17" s="12">
        <f>IF($B17="","",IF($AB17=1,IF($AB16=1,$AG16+1,1),0))</f>
        <v/>
      </c>
      <c r="AH17" s="11">
        <f>IF($B17="","",IF($AB17=1,IF($AB16=1,$AH16+$Y17,$Y17),0))</f>
        <v/>
      </c>
      <c r="AI17" s="12">
        <f>IF($B17="","",IF($AB17=-1,IF($AB16=-1,$AI16+1,1),0))</f>
        <v/>
      </c>
      <c r="AJ17" s="11">
        <f>IF($B17="","",IF($AB17=-1,IF($AB16=-1,$AJ16+ABS($Y17),ABS($Y17)),0))</f>
        <v/>
      </c>
      <c r="AK17" s="12">
        <f>IF($B17="","",IF(AND($AG17&gt;0,OR($AB18&lt;&gt;1,$B18="")),$AG17,""))</f>
        <v/>
      </c>
      <c r="AL17" s="11">
        <f>IF($B17="","",IF(AND($AH17&gt;0,OR($AB18&lt;&gt;1,$B18="")),$AH17,""))</f>
        <v/>
      </c>
      <c r="AM17" s="12">
        <f>IF($B17="","",IF(AND($AI17&gt;0,OR($AB18&lt;&gt;-1,$B18="")),$AI17,""))</f>
        <v/>
      </c>
      <c r="AN17" s="11">
        <f>IF($B17="","",IF(AND($AJ17&gt;0,OR($AB18&lt;&gt;-1,$B18="")),$AJ17,""))</f>
        <v/>
      </c>
    </row>
    <row r="18">
      <c r="A18" s="7" t="n"/>
      <c r="B18" s="8" t="n"/>
      <c r="C18" s="9" t="n"/>
      <c r="D18" s="9" t="n"/>
      <c r="E18" s="10" t="n"/>
      <c r="F18" s="10" t="n"/>
      <c r="G18" s="10" t="n"/>
      <c r="H18" s="10" t="n"/>
      <c r="I18" s="7" t="n"/>
      <c r="J18" s="10" t="n"/>
      <c r="K18" s="10" t="n"/>
      <c r="L18" s="10" t="n"/>
      <c r="M18" s="10" t="n"/>
      <c r="N18" s="8" t="n"/>
      <c r="O18" s="8" t="n"/>
      <c r="P18" s="8" t="n"/>
      <c r="Q18" s="8" t="n"/>
      <c r="R18" s="8" t="n"/>
      <c r="S18" s="8" t="n"/>
      <c r="T18" s="9" t="n"/>
      <c r="U18" s="9" t="n"/>
      <c r="V18" s="9" t="n"/>
      <c r="W18" s="9" t="n"/>
      <c r="X18" s="10" t="n"/>
      <c r="Y18" s="11">
        <f>IF($B18="","",$K18+$L18+$M18-$X18)</f>
        <v/>
      </c>
      <c r="Z18" s="11">
        <f>IF($B18="","",IF(ROW()=6,Inputs!$B$3+Inputs!$B$4-Inputs!$B$5,$AA17))</f>
        <v/>
      </c>
      <c r="AA18" s="11">
        <f>IF($B18="","",$Z18+$Y18)</f>
        <v/>
      </c>
      <c r="AB18" s="12">
        <f>IF($B18="","",IF($Y18&gt;0,1,IF($Y18&lt;0,-1,0)))</f>
        <v/>
      </c>
      <c r="AC18" s="11">
        <f>IF($B18="","",MAX($AA$6:$AA18))</f>
        <v/>
      </c>
      <c r="AD18" s="11">
        <f>IF($B18="","",$AC18-$AA18)</f>
        <v/>
      </c>
      <c r="AE18" s="13">
        <f>IF($B18="","",IF($AC18=0,0,$AD18/$AC18))</f>
        <v/>
      </c>
      <c r="AF18" s="12">
        <f>IF($B18="","",MAX(0,(Inputs!$B$3+Inputs!$B$4-Inputs!$B$5)-$AA18))</f>
        <v/>
      </c>
      <c r="AG18" s="12">
        <f>IF($B18="","",IF($AB18=1,IF($AB17=1,$AG17+1,1),0))</f>
        <v/>
      </c>
      <c r="AH18" s="11">
        <f>IF($B18="","",IF($AB18=1,IF($AB17=1,$AH17+$Y18,$Y18),0))</f>
        <v/>
      </c>
      <c r="AI18" s="12">
        <f>IF($B18="","",IF($AB18=-1,IF($AB17=-1,$AI17+1,1),0))</f>
        <v/>
      </c>
      <c r="AJ18" s="11">
        <f>IF($B18="","",IF($AB18=-1,IF($AB17=-1,$AJ17+ABS($Y18),ABS($Y18)),0))</f>
        <v/>
      </c>
      <c r="AK18" s="12">
        <f>IF($B18="","",IF(AND($AG18&gt;0,OR($AB19&lt;&gt;1,$B19="")),$AG18,""))</f>
        <v/>
      </c>
      <c r="AL18" s="11">
        <f>IF($B18="","",IF(AND($AH18&gt;0,OR($AB19&lt;&gt;1,$B19="")),$AH18,""))</f>
        <v/>
      </c>
      <c r="AM18" s="12">
        <f>IF($B18="","",IF(AND($AI18&gt;0,OR($AB19&lt;&gt;-1,$B19="")),$AI18,""))</f>
        <v/>
      </c>
      <c r="AN18" s="11">
        <f>IF($B18="","",IF(AND($AJ18&gt;0,OR($AB19&lt;&gt;-1,$B19="")),$AJ18,""))</f>
        <v/>
      </c>
    </row>
    <row r="19">
      <c r="A19" s="7" t="n"/>
      <c r="B19" s="8" t="n"/>
      <c r="C19" s="9" t="n"/>
      <c r="D19" s="9" t="n"/>
      <c r="E19" s="10" t="n"/>
      <c r="F19" s="10" t="n"/>
      <c r="G19" s="10" t="n"/>
      <c r="H19" s="10" t="n"/>
      <c r="I19" s="7" t="n"/>
      <c r="J19" s="10" t="n"/>
      <c r="K19" s="10" t="n"/>
      <c r="L19" s="10" t="n"/>
      <c r="M19" s="10" t="n"/>
      <c r="N19" s="8" t="n"/>
      <c r="O19" s="8" t="n"/>
      <c r="P19" s="8" t="n"/>
      <c r="Q19" s="8" t="n"/>
      <c r="R19" s="8" t="n"/>
      <c r="S19" s="8" t="n"/>
      <c r="T19" s="9" t="n"/>
      <c r="U19" s="9" t="n"/>
      <c r="V19" s="9" t="n"/>
      <c r="W19" s="9" t="n"/>
      <c r="X19" s="10" t="n"/>
      <c r="Y19" s="11">
        <f>IF($B19="","",$K19+$L19+$M19-$X19)</f>
        <v/>
      </c>
      <c r="Z19" s="11">
        <f>IF($B19="","",IF(ROW()=6,Inputs!$B$3+Inputs!$B$4-Inputs!$B$5,$AA18))</f>
        <v/>
      </c>
      <c r="AA19" s="11">
        <f>IF($B19="","",$Z19+$Y19)</f>
        <v/>
      </c>
      <c r="AB19" s="12">
        <f>IF($B19="","",IF($Y19&gt;0,1,IF($Y19&lt;0,-1,0)))</f>
        <v/>
      </c>
      <c r="AC19" s="11">
        <f>IF($B19="","",MAX($AA$6:$AA19))</f>
        <v/>
      </c>
      <c r="AD19" s="11">
        <f>IF($B19="","",$AC19-$AA19)</f>
        <v/>
      </c>
      <c r="AE19" s="13">
        <f>IF($B19="","",IF($AC19=0,0,$AD19/$AC19))</f>
        <v/>
      </c>
      <c r="AF19" s="12">
        <f>IF($B19="","",MAX(0,(Inputs!$B$3+Inputs!$B$4-Inputs!$B$5)-$AA19))</f>
        <v/>
      </c>
      <c r="AG19" s="12">
        <f>IF($B19="","",IF($AB19=1,IF($AB18=1,$AG18+1,1),0))</f>
        <v/>
      </c>
      <c r="AH19" s="11">
        <f>IF($B19="","",IF($AB19=1,IF($AB18=1,$AH18+$Y19,$Y19),0))</f>
        <v/>
      </c>
      <c r="AI19" s="12">
        <f>IF($B19="","",IF($AB19=-1,IF($AB18=-1,$AI18+1,1),0))</f>
        <v/>
      </c>
      <c r="AJ19" s="11">
        <f>IF($B19="","",IF($AB19=-1,IF($AB18=-1,$AJ18+ABS($Y19),ABS($Y19)),0))</f>
        <v/>
      </c>
      <c r="AK19" s="12">
        <f>IF($B19="","",IF(AND($AG19&gt;0,OR($AB20&lt;&gt;1,$B20="")),$AG19,""))</f>
        <v/>
      </c>
      <c r="AL19" s="11">
        <f>IF($B19="","",IF(AND($AH19&gt;0,OR($AB20&lt;&gt;1,$B20="")),$AH19,""))</f>
        <v/>
      </c>
      <c r="AM19" s="12">
        <f>IF($B19="","",IF(AND($AI19&gt;0,OR($AB20&lt;&gt;-1,$B20="")),$AI19,""))</f>
        <v/>
      </c>
      <c r="AN19" s="11">
        <f>IF($B19="","",IF(AND($AJ19&gt;0,OR($AB20&lt;&gt;-1,$B20="")),$AJ19,""))</f>
        <v/>
      </c>
    </row>
    <row r="20">
      <c r="A20" s="7" t="n"/>
      <c r="B20" s="8" t="n"/>
      <c r="C20" s="9" t="n"/>
      <c r="D20" s="9" t="n"/>
      <c r="E20" s="10" t="n"/>
      <c r="F20" s="10" t="n"/>
      <c r="G20" s="10" t="n"/>
      <c r="H20" s="10" t="n"/>
      <c r="I20" s="7" t="n"/>
      <c r="J20" s="10" t="n"/>
      <c r="K20" s="10" t="n"/>
      <c r="L20" s="10" t="n"/>
      <c r="M20" s="10" t="n"/>
      <c r="N20" s="8" t="n"/>
      <c r="O20" s="8" t="n"/>
      <c r="P20" s="8" t="n"/>
      <c r="Q20" s="8" t="n"/>
      <c r="R20" s="8" t="n"/>
      <c r="S20" s="8" t="n"/>
      <c r="T20" s="9" t="n"/>
      <c r="U20" s="9" t="n"/>
      <c r="V20" s="9" t="n"/>
      <c r="W20" s="9" t="n"/>
      <c r="X20" s="10" t="n"/>
      <c r="Y20" s="11">
        <f>IF($B20="","",$K20+$L20+$M20-$X20)</f>
        <v/>
      </c>
      <c r="Z20" s="11">
        <f>IF($B20="","",IF(ROW()=6,Inputs!$B$3+Inputs!$B$4-Inputs!$B$5,$AA19))</f>
        <v/>
      </c>
      <c r="AA20" s="11">
        <f>IF($B20="","",$Z20+$Y20)</f>
        <v/>
      </c>
      <c r="AB20" s="12">
        <f>IF($B20="","",IF($Y20&gt;0,1,IF($Y20&lt;0,-1,0)))</f>
        <v/>
      </c>
      <c r="AC20" s="11">
        <f>IF($B20="","",MAX($AA$6:$AA20))</f>
        <v/>
      </c>
      <c r="AD20" s="11">
        <f>IF($B20="","",$AC20-$AA20)</f>
        <v/>
      </c>
      <c r="AE20" s="13">
        <f>IF($B20="","",IF($AC20=0,0,$AD20/$AC20))</f>
        <v/>
      </c>
      <c r="AF20" s="12">
        <f>IF($B20="","",MAX(0,(Inputs!$B$3+Inputs!$B$4-Inputs!$B$5)-$AA20))</f>
        <v/>
      </c>
      <c r="AG20" s="12">
        <f>IF($B20="","",IF($AB20=1,IF($AB19=1,$AG19+1,1),0))</f>
        <v/>
      </c>
      <c r="AH20" s="11">
        <f>IF($B20="","",IF($AB20=1,IF($AB19=1,$AH19+$Y20,$Y20),0))</f>
        <v/>
      </c>
      <c r="AI20" s="12">
        <f>IF($B20="","",IF($AB20=-1,IF($AB19=-1,$AI19+1,1),0))</f>
        <v/>
      </c>
      <c r="AJ20" s="11">
        <f>IF($B20="","",IF($AB20=-1,IF($AB19=-1,$AJ19+ABS($Y20),ABS($Y20)),0))</f>
        <v/>
      </c>
      <c r="AK20" s="12">
        <f>IF($B20="","",IF(AND($AG20&gt;0,OR($AB21&lt;&gt;1,$B21="")),$AG20,""))</f>
        <v/>
      </c>
      <c r="AL20" s="11">
        <f>IF($B20="","",IF(AND($AH20&gt;0,OR($AB21&lt;&gt;1,$B21="")),$AH20,""))</f>
        <v/>
      </c>
      <c r="AM20" s="12">
        <f>IF($B20="","",IF(AND($AI20&gt;0,OR($AB21&lt;&gt;-1,$B21="")),$AI20,""))</f>
        <v/>
      </c>
      <c r="AN20" s="11">
        <f>IF($B20="","",IF(AND($AJ20&gt;0,OR($AB21&lt;&gt;-1,$B21="")),$AJ20,""))</f>
        <v/>
      </c>
    </row>
    <row r="21">
      <c r="A21" s="7" t="n"/>
      <c r="B21" s="8" t="n"/>
      <c r="C21" s="9" t="n"/>
      <c r="D21" s="9" t="n"/>
      <c r="E21" s="10" t="n"/>
      <c r="F21" s="10" t="n"/>
      <c r="G21" s="10" t="n"/>
      <c r="H21" s="10" t="n"/>
      <c r="I21" s="7" t="n"/>
      <c r="J21" s="10" t="n"/>
      <c r="K21" s="10" t="n"/>
      <c r="L21" s="10" t="n"/>
      <c r="M21" s="10" t="n"/>
      <c r="N21" s="8" t="n"/>
      <c r="O21" s="8" t="n"/>
      <c r="P21" s="8" t="n"/>
      <c r="Q21" s="8" t="n"/>
      <c r="R21" s="8" t="n"/>
      <c r="S21" s="8" t="n"/>
      <c r="T21" s="9" t="n"/>
      <c r="U21" s="9" t="n"/>
      <c r="V21" s="9" t="n"/>
      <c r="W21" s="9" t="n"/>
      <c r="X21" s="10" t="n"/>
      <c r="Y21" s="11">
        <f>IF($B21="","",$K21+$L21+$M21-$X21)</f>
        <v/>
      </c>
      <c r="Z21" s="11">
        <f>IF($B21="","",IF(ROW()=6,Inputs!$B$3+Inputs!$B$4-Inputs!$B$5,$AA20))</f>
        <v/>
      </c>
      <c r="AA21" s="11">
        <f>IF($B21="","",$Z21+$Y21)</f>
        <v/>
      </c>
      <c r="AB21" s="12">
        <f>IF($B21="","",IF($Y21&gt;0,1,IF($Y21&lt;0,-1,0)))</f>
        <v/>
      </c>
      <c r="AC21" s="11">
        <f>IF($B21="","",MAX($AA$6:$AA21))</f>
        <v/>
      </c>
      <c r="AD21" s="11">
        <f>IF($B21="","",$AC21-$AA21)</f>
        <v/>
      </c>
      <c r="AE21" s="13">
        <f>IF($B21="","",IF($AC21=0,0,$AD21/$AC21))</f>
        <v/>
      </c>
      <c r="AF21" s="12">
        <f>IF($B21="","",MAX(0,(Inputs!$B$3+Inputs!$B$4-Inputs!$B$5)-$AA21))</f>
        <v/>
      </c>
      <c r="AG21" s="12">
        <f>IF($B21="","",IF($AB21=1,IF($AB20=1,$AG20+1,1),0))</f>
        <v/>
      </c>
      <c r="AH21" s="11">
        <f>IF($B21="","",IF($AB21=1,IF($AB20=1,$AH20+$Y21,$Y21),0))</f>
        <v/>
      </c>
      <c r="AI21" s="12">
        <f>IF($B21="","",IF($AB21=-1,IF($AB20=-1,$AI20+1,1),0))</f>
        <v/>
      </c>
      <c r="AJ21" s="11">
        <f>IF($B21="","",IF($AB21=-1,IF($AB20=-1,$AJ20+ABS($Y21),ABS($Y21)),0))</f>
        <v/>
      </c>
      <c r="AK21" s="12">
        <f>IF($B21="","",IF(AND($AG21&gt;0,OR($AB22&lt;&gt;1,$B22="")),$AG21,""))</f>
        <v/>
      </c>
      <c r="AL21" s="11">
        <f>IF($B21="","",IF(AND($AH21&gt;0,OR($AB22&lt;&gt;1,$B22="")),$AH21,""))</f>
        <v/>
      </c>
      <c r="AM21" s="12">
        <f>IF($B21="","",IF(AND($AI21&gt;0,OR($AB22&lt;&gt;-1,$B22="")),$AI21,""))</f>
        <v/>
      </c>
      <c r="AN21" s="11">
        <f>IF($B21="","",IF(AND($AJ21&gt;0,OR($AB22&lt;&gt;-1,$B22="")),$AJ21,""))</f>
        <v/>
      </c>
    </row>
    <row r="22">
      <c r="A22" s="7" t="n"/>
      <c r="B22" s="8" t="n"/>
      <c r="C22" s="9" t="n"/>
      <c r="D22" s="9" t="n"/>
      <c r="E22" s="10" t="n"/>
      <c r="F22" s="10" t="n"/>
      <c r="G22" s="10" t="n"/>
      <c r="H22" s="10" t="n"/>
      <c r="I22" s="7" t="n"/>
      <c r="J22" s="10" t="n"/>
      <c r="K22" s="10" t="n"/>
      <c r="L22" s="10" t="n"/>
      <c r="M22" s="10" t="n"/>
      <c r="N22" s="8" t="n"/>
      <c r="O22" s="8" t="n"/>
      <c r="P22" s="8" t="n"/>
      <c r="Q22" s="8" t="n"/>
      <c r="R22" s="8" t="n"/>
      <c r="S22" s="8" t="n"/>
      <c r="T22" s="9" t="n"/>
      <c r="U22" s="9" t="n"/>
      <c r="V22" s="9" t="n"/>
      <c r="W22" s="9" t="n"/>
      <c r="X22" s="10" t="n"/>
      <c r="Y22" s="11">
        <f>IF($B22="","",$K22+$L22+$M22-$X22)</f>
        <v/>
      </c>
      <c r="Z22" s="11">
        <f>IF($B22="","",IF(ROW()=6,Inputs!$B$3+Inputs!$B$4-Inputs!$B$5,$AA21))</f>
        <v/>
      </c>
      <c r="AA22" s="11">
        <f>IF($B22="","",$Z22+$Y22)</f>
        <v/>
      </c>
      <c r="AB22" s="12">
        <f>IF($B22="","",IF($Y22&gt;0,1,IF($Y22&lt;0,-1,0)))</f>
        <v/>
      </c>
      <c r="AC22" s="11">
        <f>IF($B22="","",MAX($AA$6:$AA22))</f>
        <v/>
      </c>
      <c r="AD22" s="11">
        <f>IF($B22="","",$AC22-$AA22)</f>
        <v/>
      </c>
      <c r="AE22" s="13">
        <f>IF($B22="","",IF($AC22=0,0,$AD22/$AC22))</f>
        <v/>
      </c>
      <c r="AF22" s="12">
        <f>IF($B22="","",MAX(0,(Inputs!$B$3+Inputs!$B$4-Inputs!$B$5)-$AA22))</f>
        <v/>
      </c>
      <c r="AG22" s="12">
        <f>IF($B22="","",IF($AB22=1,IF($AB21=1,$AG21+1,1),0))</f>
        <v/>
      </c>
      <c r="AH22" s="11">
        <f>IF($B22="","",IF($AB22=1,IF($AB21=1,$AH21+$Y22,$Y22),0))</f>
        <v/>
      </c>
      <c r="AI22" s="12">
        <f>IF($B22="","",IF($AB22=-1,IF($AB21=-1,$AI21+1,1),0))</f>
        <v/>
      </c>
      <c r="AJ22" s="11">
        <f>IF($B22="","",IF($AB22=-1,IF($AB21=-1,$AJ21+ABS($Y22),ABS($Y22)),0))</f>
        <v/>
      </c>
      <c r="AK22" s="12">
        <f>IF($B22="","",IF(AND($AG22&gt;0,OR($AB23&lt;&gt;1,$B23="")),$AG22,""))</f>
        <v/>
      </c>
      <c r="AL22" s="11">
        <f>IF($B22="","",IF(AND($AH22&gt;0,OR($AB23&lt;&gt;1,$B23="")),$AH22,""))</f>
        <v/>
      </c>
      <c r="AM22" s="12">
        <f>IF($B22="","",IF(AND($AI22&gt;0,OR($AB23&lt;&gt;-1,$B23="")),$AI22,""))</f>
        <v/>
      </c>
      <c r="AN22" s="11">
        <f>IF($B22="","",IF(AND($AJ22&gt;0,OR($AB23&lt;&gt;-1,$B23="")),$AJ22,""))</f>
        <v/>
      </c>
    </row>
    <row r="23">
      <c r="A23" s="7" t="n"/>
      <c r="B23" s="8" t="n"/>
      <c r="C23" s="9" t="n"/>
      <c r="D23" s="9" t="n"/>
      <c r="E23" s="10" t="n"/>
      <c r="F23" s="10" t="n"/>
      <c r="G23" s="10" t="n"/>
      <c r="H23" s="10" t="n"/>
      <c r="I23" s="7" t="n"/>
      <c r="J23" s="10" t="n"/>
      <c r="K23" s="10" t="n"/>
      <c r="L23" s="10" t="n"/>
      <c r="M23" s="10" t="n"/>
      <c r="N23" s="8" t="n"/>
      <c r="O23" s="8" t="n"/>
      <c r="P23" s="8" t="n"/>
      <c r="Q23" s="8" t="n"/>
      <c r="R23" s="8" t="n"/>
      <c r="S23" s="8" t="n"/>
      <c r="T23" s="9" t="n"/>
      <c r="U23" s="9" t="n"/>
      <c r="V23" s="9" t="n"/>
      <c r="W23" s="9" t="n"/>
      <c r="X23" s="10" t="n"/>
      <c r="Y23" s="11">
        <f>IF($B23="","",$K23+$L23+$M23-$X23)</f>
        <v/>
      </c>
      <c r="Z23" s="11">
        <f>IF($B23="","",IF(ROW()=6,Inputs!$B$3+Inputs!$B$4-Inputs!$B$5,$AA22))</f>
        <v/>
      </c>
      <c r="AA23" s="11">
        <f>IF($B23="","",$Z23+$Y23)</f>
        <v/>
      </c>
      <c r="AB23" s="12">
        <f>IF($B23="","",IF($Y23&gt;0,1,IF($Y23&lt;0,-1,0)))</f>
        <v/>
      </c>
      <c r="AC23" s="11">
        <f>IF($B23="","",MAX($AA$6:$AA23))</f>
        <v/>
      </c>
      <c r="AD23" s="11">
        <f>IF($B23="","",$AC23-$AA23)</f>
        <v/>
      </c>
      <c r="AE23" s="13">
        <f>IF($B23="","",IF($AC23=0,0,$AD23/$AC23))</f>
        <v/>
      </c>
      <c r="AF23" s="12">
        <f>IF($B23="","",MAX(0,(Inputs!$B$3+Inputs!$B$4-Inputs!$B$5)-$AA23))</f>
        <v/>
      </c>
      <c r="AG23" s="12">
        <f>IF($B23="","",IF($AB23=1,IF($AB22=1,$AG22+1,1),0))</f>
        <v/>
      </c>
      <c r="AH23" s="11">
        <f>IF($B23="","",IF($AB23=1,IF($AB22=1,$AH22+$Y23,$Y23),0))</f>
        <v/>
      </c>
      <c r="AI23" s="12">
        <f>IF($B23="","",IF($AB23=-1,IF($AB22=-1,$AI22+1,1),0))</f>
        <v/>
      </c>
      <c r="AJ23" s="11">
        <f>IF($B23="","",IF($AB23=-1,IF($AB22=-1,$AJ22+ABS($Y23),ABS($Y23)),0))</f>
        <v/>
      </c>
      <c r="AK23" s="12">
        <f>IF($B23="","",IF(AND($AG23&gt;0,OR($AB24&lt;&gt;1,$B24="")),$AG23,""))</f>
        <v/>
      </c>
      <c r="AL23" s="11">
        <f>IF($B23="","",IF(AND($AH23&gt;0,OR($AB24&lt;&gt;1,$B24="")),$AH23,""))</f>
        <v/>
      </c>
      <c r="AM23" s="12">
        <f>IF($B23="","",IF(AND($AI23&gt;0,OR($AB24&lt;&gt;-1,$B24="")),$AI23,""))</f>
        <v/>
      </c>
      <c r="AN23" s="11">
        <f>IF($B23="","",IF(AND($AJ23&gt;0,OR($AB24&lt;&gt;-1,$B24="")),$AJ23,""))</f>
        <v/>
      </c>
    </row>
    <row r="24">
      <c r="A24" s="7" t="n"/>
      <c r="B24" s="8" t="n"/>
      <c r="C24" s="9" t="n"/>
      <c r="D24" s="9" t="n"/>
      <c r="E24" s="10" t="n"/>
      <c r="F24" s="10" t="n"/>
      <c r="G24" s="10" t="n"/>
      <c r="H24" s="10" t="n"/>
      <c r="I24" s="7" t="n"/>
      <c r="J24" s="10" t="n"/>
      <c r="K24" s="10" t="n"/>
      <c r="L24" s="10" t="n"/>
      <c r="M24" s="10" t="n"/>
      <c r="N24" s="8" t="n"/>
      <c r="O24" s="8" t="n"/>
      <c r="P24" s="8" t="n"/>
      <c r="Q24" s="8" t="n"/>
      <c r="R24" s="8" t="n"/>
      <c r="S24" s="8" t="n"/>
      <c r="T24" s="9" t="n"/>
      <c r="U24" s="9" t="n"/>
      <c r="V24" s="9" t="n"/>
      <c r="W24" s="9" t="n"/>
      <c r="X24" s="10" t="n"/>
      <c r="Y24" s="11">
        <f>IF($B24="","",$K24+$L24+$M24-$X24)</f>
        <v/>
      </c>
      <c r="Z24" s="11">
        <f>IF($B24="","",IF(ROW()=6,Inputs!$B$3+Inputs!$B$4-Inputs!$B$5,$AA23))</f>
        <v/>
      </c>
      <c r="AA24" s="11">
        <f>IF($B24="","",$Z24+$Y24)</f>
        <v/>
      </c>
      <c r="AB24" s="12">
        <f>IF($B24="","",IF($Y24&gt;0,1,IF($Y24&lt;0,-1,0)))</f>
        <v/>
      </c>
      <c r="AC24" s="11">
        <f>IF($B24="","",MAX($AA$6:$AA24))</f>
        <v/>
      </c>
      <c r="AD24" s="11">
        <f>IF($B24="","",$AC24-$AA24)</f>
        <v/>
      </c>
      <c r="AE24" s="13">
        <f>IF($B24="","",IF($AC24=0,0,$AD24/$AC24))</f>
        <v/>
      </c>
      <c r="AF24" s="12">
        <f>IF($B24="","",MAX(0,(Inputs!$B$3+Inputs!$B$4-Inputs!$B$5)-$AA24))</f>
        <v/>
      </c>
      <c r="AG24" s="12">
        <f>IF($B24="","",IF($AB24=1,IF($AB23=1,$AG23+1,1),0))</f>
        <v/>
      </c>
      <c r="AH24" s="11">
        <f>IF($B24="","",IF($AB24=1,IF($AB23=1,$AH23+$Y24,$Y24),0))</f>
        <v/>
      </c>
      <c r="AI24" s="12">
        <f>IF($B24="","",IF($AB24=-1,IF($AB23=-1,$AI23+1,1),0))</f>
        <v/>
      </c>
      <c r="AJ24" s="11">
        <f>IF($B24="","",IF($AB24=-1,IF($AB23=-1,$AJ23+ABS($Y24),ABS($Y24)),0))</f>
        <v/>
      </c>
      <c r="AK24" s="12">
        <f>IF($B24="","",IF(AND($AG24&gt;0,OR($AB25&lt;&gt;1,$B25="")),$AG24,""))</f>
        <v/>
      </c>
      <c r="AL24" s="11">
        <f>IF($B24="","",IF(AND($AH24&gt;0,OR($AB25&lt;&gt;1,$B25="")),$AH24,""))</f>
        <v/>
      </c>
      <c r="AM24" s="12">
        <f>IF($B24="","",IF(AND($AI24&gt;0,OR($AB25&lt;&gt;-1,$B25="")),$AI24,""))</f>
        <v/>
      </c>
      <c r="AN24" s="11">
        <f>IF($B24="","",IF(AND($AJ24&gt;0,OR($AB25&lt;&gt;-1,$B25="")),$AJ24,""))</f>
        <v/>
      </c>
    </row>
    <row r="25">
      <c r="A25" s="7" t="n"/>
      <c r="B25" s="8" t="n"/>
      <c r="C25" s="9" t="n"/>
      <c r="D25" s="9" t="n"/>
      <c r="E25" s="10" t="n"/>
      <c r="F25" s="10" t="n"/>
      <c r="G25" s="10" t="n"/>
      <c r="H25" s="10" t="n"/>
      <c r="I25" s="7" t="n"/>
      <c r="J25" s="10" t="n"/>
      <c r="K25" s="10" t="n"/>
      <c r="L25" s="10" t="n"/>
      <c r="M25" s="10" t="n"/>
      <c r="N25" s="8" t="n"/>
      <c r="O25" s="8" t="n"/>
      <c r="P25" s="8" t="n"/>
      <c r="Q25" s="8" t="n"/>
      <c r="R25" s="8" t="n"/>
      <c r="S25" s="8" t="n"/>
      <c r="T25" s="9" t="n"/>
      <c r="U25" s="9" t="n"/>
      <c r="V25" s="9" t="n"/>
      <c r="W25" s="9" t="n"/>
      <c r="X25" s="10" t="n"/>
      <c r="Y25" s="11">
        <f>IF($B25="","",$K25+$L25+$M25-$X25)</f>
        <v/>
      </c>
      <c r="Z25" s="11">
        <f>IF($B25="","",IF(ROW()=6,Inputs!$B$3+Inputs!$B$4-Inputs!$B$5,$AA24))</f>
        <v/>
      </c>
      <c r="AA25" s="11">
        <f>IF($B25="","",$Z25+$Y25)</f>
        <v/>
      </c>
      <c r="AB25" s="12">
        <f>IF($B25="","",IF($Y25&gt;0,1,IF($Y25&lt;0,-1,0)))</f>
        <v/>
      </c>
      <c r="AC25" s="11">
        <f>IF($B25="","",MAX($AA$6:$AA25))</f>
        <v/>
      </c>
      <c r="AD25" s="11">
        <f>IF($B25="","",$AC25-$AA25)</f>
        <v/>
      </c>
      <c r="AE25" s="13">
        <f>IF($B25="","",IF($AC25=0,0,$AD25/$AC25))</f>
        <v/>
      </c>
      <c r="AF25" s="12">
        <f>IF($B25="","",MAX(0,(Inputs!$B$3+Inputs!$B$4-Inputs!$B$5)-$AA25))</f>
        <v/>
      </c>
      <c r="AG25" s="12">
        <f>IF($B25="","",IF($AB25=1,IF($AB24=1,$AG24+1,1),0))</f>
        <v/>
      </c>
      <c r="AH25" s="11">
        <f>IF($B25="","",IF($AB25=1,IF($AB24=1,$AH24+$Y25,$Y25),0))</f>
        <v/>
      </c>
      <c r="AI25" s="12">
        <f>IF($B25="","",IF($AB25=-1,IF($AB24=-1,$AI24+1,1),0))</f>
        <v/>
      </c>
      <c r="AJ25" s="11">
        <f>IF($B25="","",IF($AB25=-1,IF($AB24=-1,$AJ24+ABS($Y25),ABS($Y25)),0))</f>
        <v/>
      </c>
      <c r="AK25" s="12">
        <f>IF($B25="","",IF(AND($AG25&gt;0,OR($AB26&lt;&gt;1,$B26="")),$AG25,""))</f>
        <v/>
      </c>
      <c r="AL25" s="11">
        <f>IF($B25="","",IF(AND($AH25&gt;0,OR($AB26&lt;&gt;1,$B26="")),$AH25,""))</f>
        <v/>
      </c>
      <c r="AM25" s="12">
        <f>IF($B25="","",IF(AND($AI25&gt;0,OR($AB26&lt;&gt;-1,$B26="")),$AI25,""))</f>
        <v/>
      </c>
      <c r="AN25" s="11">
        <f>IF($B25="","",IF(AND($AJ25&gt;0,OR($AB26&lt;&gt;-1,$B26="")),$AJ25,""))</f>
        <v/>
      </c>
    </row>
    <row r="26">
      <c r="A26" s="7" t="n"/>
      <c r="B26" s="8" t="n"/>
      <c r="C26" s="9" t="n"/>
      <c r="D26" s="9" t="n"/>
      <c r="E26" s="10" t="n"/>
      <c r="F26" s="10" t="n"/>
      <c r="G26" s="10" t="n"/>
      <c r="H26" s="10" t="n"/>
      <c r="I26" s="7" t="n"/>
      <c r="J26" s="10" t="n"/>
      <c r="K26" s="10" t="n"/>
      <c r="L26" s="10" t="n"/>
      <c r="M26" s="10" t="n"/>
      <c r="N26" s="8" t="n"/>
      <c r="O26" s="8" t="n"/>
      <c r="P26" s="8" t="n"/>
      <c r="Q26" s="8" t="n"/>
      <c r="R26" s="8" t="n"/>
      <c r="S26" s="8" t="n"/>
      <c r="T26" s="9" t="n"/>
      <c r="U26" s="9" t="n"/>
      <c r="V26" s="9" t="n"/>
      <c r="W26" s="9" t="n"/>
      <c r="X26" s="10" t="n"/>
      <c r="Y26" s="11">
        <f>IF($B26="","",$K26+$L26+$M26-$X26)</f>
        <v/>
      </c>
      <c r="Z26" s="11">
        <f>IF($B26="","",IF(ROW()=6,Inputs!$B$3+Inputs!$B$4-Inputs!$B$5,$AA25))</f>
        <v/>
      </c>
      <c r="AA26" s="11">
        <f>IF($B26="","",$Z26+$Y26)</f>
        <v/>
      </c>
      <c r="AB26" s="12">
        <f>IF($B26="","",IF($Y26&gt;0,1,IF($Y26&lt;0,-1,0)))</f>
        <v/>
      </c>
      <c r="AC26" s="11">
        <f>IF($B26="","",MAX($AA$6:$AA26))</f>
        <v/>
      </c>
      <c r="AD26" s="11">
        <f>IF($B26="","",$AC26-$AA26)</f>
        <v/>
      </c>
      <c r="AE26" s="13">
        <f>IF($B26="","",IF($AC26=0,0,$AD26/$AC26))</f>
        <v/>
      </c>
      <c r="AF26" s="12">
        <f>IF($B26="","",MAX(0,(Inputs!$B$3+Inputs!$B$4-Inputs!$B$5)-$AA26))</f>
        <v/>
      </c>
      <c r="AG26" s="12">
        <f>IF($B26="","",IF($AB26=1,IF($AB25=1,$AG25+1,1),0))</f>
        <v/>
      </c>
      <c r="AH26" s="11">
        <f>IF($B26="","",IF($AB26=1,IF($AB25=1,$AH25+$Y26,$Y26),0))</f>
        <v/>
      </c>
      <c r="AI26" s="12">
        <f>IF($B26="","",IF($AB26=-1,IF($AB25=-1,$AI25+1,1),0))</f>
        <v/>
      </c>
      <c r="AJ26" s="11">
        <f>IF($B26="","",IF($AB26=-1,IF($AB25=-1,$AJ25+ABS($Y26),ABS($Y26)),0))</f>
        <v/>
      </c>
      <c r="AK26" s="12">
        <f>IF($B26="","",IF(AND($AG26&gt;0,OR($AB27&lt;&gt;1,$B27="")),$AG26,""))</f>
        <v/>
      </c>
      <c r="AL26" s="11">
        <f>IF($B26="","",IF(AND($AH26&gt;0,OR($AB27&lt;&gt;1,$B27="")),$AH26,""))</f>
        <v/>
      </c>
      <c r="AM26" s="12">
        <f>IF($B26="","",IF(AND($AI26&gt;0,OR($AB27&lt;&gt;-1,$B27="")),$AI26,""))</f>
        <v/>
      </c>
      <c r="AN26" s="11">
        <f>IF($B26="","",IF(AND($AJ26&gt;0,OR($AB27&lt;&gt;-1,$B27="")),$AJ26,""))</f>
        <v/>
      </c>
    </row>
    <row r="27">
      <c r="A27" s="7" t="n"/>
      <c r="B27" s="8" t="n"/>
      <c r="C27" s="9" t="n"/>
      <c r="D27" s="9" t="n"/>
      <c r="E27" s="10" t="n"/>
      <c r="F27" s="10" t="n"/>
      <c r="G27" s="10" t="n"/>
      <c r="H27" s="10" t="n"/>
      <c r="I27" s="7" t="n"/>
      <c r="J27" s="10" t="n"/>
      <c r="K27" s="10" t="n"/>
      <c r="L27" s="10" t="n"/>
      <c r="M27" s="10" t="n"/>
      <c r="N27" s="8" t="n"/>
      <c r="O27" s="8" t="n"/>
      <c r="P27" s="8" t="n"/>
      <c r="Q27" s="8" t="n"/>
      <c r="R27" s="8" t="n"/>
      <c r="S27" s="8" t="n"/>
      <c r="T27" s="9" t="n"/>
      <c r="U27" s="9" t="n"/>
      <c r="V27" s="9" t="n"/>
      <c r="W27" s="9" t="n"/>
      <c r="X27" s="10" t="n"/>
      <c r="Y27" s="11">
        <f>IF($B27="","",$K27+$L27+$M27-$X27)</f>
        <v/>
      </c>
      <c r="Z27" s="11">
        <f>IF($B27="","",IF(ROW()=6,Inputs!$B$3+Inputs!$B$4-Inputs!$B$5,$AA26))</f>
        <v/>
      </c>
      <c r="AA27" s="11">
        <f>IF($B27="","",$Z27+$Y27)</f>
        <v/>
      </c>
      <c r="AB27" s="12">
        <f>IF($B27="","",IF($Y27&gt;0,1,IF($Y27&lt;0,-1,0)))</f>
        <v/>
      </c>
      <c r="AC27" s="11">
        <f>IF($B27="","",MAX($AA$6:$AA27))</f>
        <v/>
      </c>
      <c r="AD27" s="11">
        <f>IF($B27="","",$AC27-$AA27)</f>
        <v/>
      </c>
      <c r="AE27" s="13">
        <f>IF($B27="","",IF($AC27=0,0,$AD27/$AC27))</f>
        <v/>
      </c>
      <c r="AF27" s="12">
        <f>IF($B27="","",MAX(0,(Inputs!$B$3+Inputs!$B$4-Inputs!$B$5)-$AA27))</f>
        <v/>
      </c>
      <c r="AG27" s="12">
        <f>IF($B27="","",IF($AB27=1,IF($AB26=1,$AG26+1,1),0))</f>
        <v/>
      </c>
      <c r="AH27" s="11">
        <f>IF($B27="","",IF($AB27=1,IF($AB26=1,$AH26+$Y27,$Y27),0))</f>
        <v/>
      </c>
      <c r="AI27" s="12">
        <f>IF($B27="","",IF($AB27=-1,IF($AB26=-1,$AI26+1,1),0))</f>
        <v/>
      </c>
      <c r="AJ27" s="11">
        <f>IF($B27="","",IF($AB27=-1,IF($AB26=-1,$AJ26+ABS($Y27),ABS($Y27)),0))</f>
        <v/>
      </c>
      <c r="AK27" s="12">
        <f>IF($B27="","",IF(AND($AG27&gt;0,OR($AB28&lt;&gt;1,$B28="")),$AG27,""))</f>
        <v/>
      </c>
      <c r="AL27" s="11">
        <f>IF($B27="","",IF(AND($AH27&gt;0,OR($AB28&lt;&gt;1,$B28="")),$AH27,""))</f>
        <v/>
      </c>
      <c r="AM27" s="12">
        <f>IF($B27="","",IF(AND($AI27&gt;0,OR($AB28&lt;&gt;-1,$B28="")),$AI27,""))</f>
        <v/>
      </c>
      <c r="AN27" s="11">
        <f>IF($B27="","",IF(AND($AJ27&gt;0,OR($AB28&lt;&gt;-1,$B28="")),$AJ27,""))</f>
        <v/>
      </c>
    </row>
    <row r="28">
      <c r="A28" s="7" t="n"/>
      <c r="B28" s="8" t="n"/>
      <c r="C28" s="9" t="n"/>
      <c r="D28" s="9" t="n"/>
      <c r="E28" s="10" t="n"/>
      <c r="F28" s="10" t="n"/>
      <c r="G28" s="10" t="n"/>
      <c r="H28" s="10" t="n"/>
      <c r="I28" s="7" t="n"/>
      <c r="J28" s="10" t="n"/>
      <c r="K28" s="10" t="n"/>
      <c r="L28" s="10" t="n"/>
      <c r="M28" s="10" t="n"/>
      <c r="N28" s="8" t="n"/>
      <c r="O28" s="8" t="n"/>
      <c r="P28" s="8" t="n"/>
      <c r="Q28" s="8" t="n"/>
      <c r="R28" s="8" t="n"/>
      <c r="S28" s="8" t="n"/>
      <c r="T28" s="9" t="n"/>
      <c r="U28" s="9" t="n"/>
      <c r="V28" s="9" t="n"/>
      <c r="W28" s="9" t="n"/>
      <c r="X28" s="10" t="n"/>
      <c r="Y28" s="11">
        <f>IF($B28="","",$K28+$L28+$M28-$X28)</f>
        <v/>
      </c>
      <c r="Z28" s="11">
        <f>IF($B28="","",IF(ROW()=6,Inputs!$B$3+Inputs!$B$4-Inputs!$B$5,$AA27))</f>
        <v/>
      </c>
      <c r="AA28" s="11">
        <f>IF($B28="","",$Z28+$Y28)</f>
        <v/>
      </c>
      <c r="AB28" s="12">
        <f>IF($B28="","",IF($Y28&gt;0,1,IF($Y28&lt;0,-1,0)))</f>
        <v/>
      </c>
      <c r="AC28" s="11">
        <f>IF($B28="","",MAX($AA$6:$AA28))</f>
        <v/>
      </c>
      <c r="AD28" s="11">
        <f>IF($B28="","",$AC28-$AA28)</f>
        <v/>
      </c>
      <c r="AE28" s="13">
        <f>IF($B28="","",IF($AC28=0,0,$AD28/$AC28))</f>
        <v/>
      </c>
      <c r="AF28" s="12">
        <f>IF($B28="","",MAX(0,(Inputs!$B$3+Inputs!$B$4-Inputs!$B$5)-$AA28))</f>
        <v/>
      </c>
      <c r="AG28" s="12">
        <f>IF($B28="","",IF($AB28=1,IF($AB27=1,$AG27+1,1),0))</f>
        <v/>
      </c>
      <c r="AH28" s="11">
        <f>IF($B28="","",IF($AB28=1,IF($AB27=1,$AH27+$Y28,$Y28),0))</f>
        <v/>
      </c>
      <c r="AI28" s="12">
        <f>IF($B28="","",IF($AB28=-1,IF($AB27=-1,$AI27+1,1),0))</f>
        <v/>
      </c>
      <c r="AJ28" s="11">
        <f>IF($B28="","",IF($AB28=-1,IF($AB27=-1,$AJ27+ABS($Y28),ABS($Y28)),0))</f>
        <v/>
      </c>
      <c r="AK28" s="12">
        <f>IF($B28="","",IF(AND($AG28&gt;0,OR($AB29&lt;&gt;1,$B29="")),$AG28,""))</f>
        <v/>
      </c>
      <c r="AL28" s="11">
        <f>IF($B28="","",IF(AND($AH28&gt;0,OR($AB29&lt;&gt;1,$B29="")),$AH28,""))</f>
        <v/>
      </c>
      <c r="AM28" s="12">
        <f>IF($B28="","",IF(AND($AI28&gt;0,OR($AB29&lt;&gt;-1,$B29="")),$AI28,""))</f>
        <v/>
      </c>
      <c r="AN28" s="11">
        <f>IF($B28="","",IF(AND($AJ28&gt;0,OR($AB29&lt;&gt;-1,$B29="")),$AJ28,""))</f>
        <v/>
      </c>
    </row>
    <row r="29">
      <c r="A29" s="7" t="n"/>
      <c r="B29" s="8" t="n"/>
      <c r="C29" s="9" t="n"/>
      <c r="D29" s="9" t="n"/>
      <c r="E29" s="10" t="n"/>
      <c r="F29" s="10" t="n"/>
      <c r="G29" s="10" t="n"/>
      <c r="H29" s="10" t="n"/>
      <c r="I29" s="7" t="n"/>
      <c r="J29" s="10" t="n"/>
      <c r="K29" s="10" t="n"/>
      <c r="L29" s="10" t="n"/>
      <c r="M29" s="10" t="n"/>
      <c r="N29" s="8" t="n"/>
      <c r="O29" s="8" t="n"/>
      <c r="P29" s="8" t="n"/>
      <c r="Q29" s="8" t="n"/>
      <c r="R29" s="8" t="n"/>
      <c r="S29" s="8" t="n"/>
      <c r="T29" s="9" t="n"/>
      <c r="U29" s="9" t="n"/>
      <c r="V29" s="9" t="n"/>
      <c r="W29" s="9" t="n"/>
      <c r="X29" s="10" t="n"/>
      <c r="Y29" s="11">
        <f>IF($B29="","",$K29+$L29+$M29-$X29)</f>
        <v/>
      </c>
      <c r="Z29" s="11">
        <f>IF($B29="","",IF(ROW()=6,Inputs!$B$3+Inputs!$B$4-Inputs!$B$5,$AA28))</f>
        <v/>
      </c>
      <c r="AA29" s="11">
        <f>IF($B29="","",$Z29+$Y29)</f>
        <v/>
      </c>
      <c r="AB29" s="12">
        <f>IF($B29="","",IF($Y29&gt;0,1,IF($Y29&lt;0,-1,0)))</f>
        <v/>
      </c>
      <c r="AC29" s="11">
        <f>IF($B29="","",MAX($AA$6:$AA29))</f>
        <v/>
      </c>
      <c r="AD29" s="11">
        <f>IF($B29="","",$AC29-$AA29)</f>
        <v/>
      </c>
      <c r="AE29" s="13">
        <f>IF($B29="","",IF($AC29=0,0,$AD29/$AC29))</f>
        <v/>
      </c>
      <c r="AF29" s="12">
        <f>IF($B29="","",MAX(0,(Inputs!$B$3+Inputs!$B$4-Inputs!$B$5)-$AA29))</f>
        <v/>
      </c>
      <c r="AG29" s="12">
        <f>IF($B29="","",IF($AB29=1,IF($AB28=1,$AG28+1,1),0))</f>
        <v/>
      </c>
      <c r="AH29" s="11">
        <f>IF($B29="","",IF($AB29=1,IF($AB28=1,$AH28+$Y29,$Y29),0))</f>
        <v/>
      </c>
      <c r="AI29" s="12">
        <f>IF($B29="","",IF($AB29=-1,IF($AB28=-1,$AI28+1,1),0))</f>
        <v/>
      </c>
      <c r="AJ29" s="11">
        <f>IF($B29="","",IF($AB29=-1,IF($AB28=-1,$AJ28+ABS($Y29),ABS($Y29)),0))</f>
        <v/>
      </c>
      <c r="AK29" s="12">
        <f>IF($B29="","",IF(AND($AG29&gt;0,OR($AB30&lt;&gt;1,$B30="")),$AG29,""))</f>
        <v/>
      </c>
      <c r="AL29" s="11">
        <f>IF($B29="","",IF(AND($AH29&gt;0,OR($AB30&lt;&gt;1,$B30="")),$AH29,""))</f>
        <v/>
      </c>
      <c r="AM29" s="12">
        <f>IF($B29="","",IF(AND($AI29&gt;0,OR($AB30&lt;&gt;-1,$B30="")),$AI29,""))</f>
        <v/>
      </c>
      <c r="AN29" s="11">
        <f>IF($B29="","",IF(AND($AJ29&gt;0,OR($AB30&lt;&gt;-1,$B30="")),$AJ29,""))</f>
        <v/>
      </c>
    </row>
    <row r="30">
      <c r="A30" s="7" t="n"/>
      <c r="B30" s="8" t="n"/>
      <c r="C30" s="9" t="n"/>
      <c r="D30" s="9" t="n"/>
      <c r="E30" s="10" t="n"/>
      <c r="F30" s="10" t="n"/>
      <c r="G30" s="10" t="n"/>
      <c r="H30" s="10" t="n"/>
      <c r="I30" s="7" t="n"/>
      <c r="J30" s="10" t="n"/>
      <c r="K30" s="10" t="n"/>
      <c r="L30" s="10" t="n"/>
      <c r="M30" s="10" t="n"/>
      <c r="N30" s="8" t="n"/>
      <c r="O30" s="8" t="n"/>
      <c r="P30" s="8" t="n"/>
      <c r="Q30" s="8" t="n"/>
      <c r="R30" s="8" t="n"/>
      <c r="S30" s="8" t="n"/>
      <c r="T30" s="9" t="n"/>
      <c r="U30" s="9" t="n"/>
      <c r="V30" s="9" t="n"/>
      <c r="W30" s="9" t="n"/>
      <c r="X30" s="10" t="n"/>
      <c r="Y30" s="11">
        <f>IF($B30="","",$K30+$L30+$M30-$X30)</f>
        <v/>
      </c>
      <c r="Z30" s="11">
        <f>IF($B30="","",IF(ROW()=6,Inputs!$B$3+Inputs!$B$4-Inputs!$B$5,$AA29))</f>
        <v/>
      </c>
      <c r="AA30" s="11">
        <f>IF($B30="","",$Z30+$Y30)</f>
        <v/>
      </c>
      <c r="AB30" s="12">
        <f>IF($B30="","",IF($Y30&gt;0,1,IF($Y30&lt;0,-1,0)))</f>
        <v/>
      </c>
      <c r="AC30" s="11">
        <f>IF($B30="","",MAX($AA$6:$AA30))</f>
        <v/>
      </c>
      <c r="AD30" s="11">
        <f>IF($B30="","",$AC30-$AA30)</f>
        <v/>
      </c>
      <c r="AE30" s="13">
        <f>IF($B30="","",IF($AC30=0,0,$AD30/$AC30))</f>
        <v/>
      </c>
      <c r="AF30" s="12">
        <f>IF($B30="","",MAX(0,(Inputs!$B$3+Inputs!$B$4-Inputs!$B$5)-$AA30))</f>
        <v/>
      </c>
      <c r="AG30" s="12">
        <f>IF($B30="","",IF($AB30=1,IF($AB29=1,$AG29+1,1),0))</f>
        <v/>
      </c>
      <c r="AH30" s="11">
        <f>IF($B30="","",IF($AB30=1,IF($AB29=1,$AH29+$Y30,$Y30),0))</f>
        <v/>
      </c>
      <c r="AI30" s="12">
        <f>IF($B30="","",IF($AB30=-1,IF($AB29=-1,$AI29+1,1),0))</f>
        <v/>
      </c>
      <c r="AJ30" s="11">
        <f>IF($B30="","",IF($AB30=-1,IF($AB29=-1,$AJ29+ABS($Y30),ABS($Y30)),0))</f>
        <v/>
      </c>
      <c r="AK30" s="12">
        <f>IF($B30="","",IF(AND($AG30&gt;0,OR($AB31&lt;&gt;1,$B31="")),$AG30,""))</f>
        <v/>
      </c>
      <c r="AL30" s="11">
        <f>IF($B30="","",IF(AND($AH30&gt;0,OR($AB31&lt;&gt;1,$B31="")),$AH30,""))</f>
        <v/>
      </c>
      <c r="AM30" s="12">
        <f>IF($B30="","",IF(AND($AI30&gt;0,OR($AB31&lt;&gt;-1,$B31="")),$AI30,""))</f>
        <v/>
      </c>
      <c r="AN30" s="11">
        <f>IF($B30="","",IF(AND($AJ30&gt;0,OR($AB31&lt;&gt;-1,$B31="")),$AJ30,""))</f>
        <v/>
      </c>
    </row>
    <row r="31">
      <c r="A31" s="7" t="n"/>
      <c r="B31" s="8" t="n"/>
      <c r="C31" s="9" t="n"/>
      <c r="D31" s="9" t="n"/>
      <c r="E31" s="10" t="n"/>
      <c r="F31" s="10" t="n"/>
      <c r="G31" s="10" t="n"/>
      <c r="H31" s="10" t="n"/>
      <c r="I31" s="7" t="n"/>
      <c r="J31" s="10" t="n"/>
      <c r="K31" s="10" t="n"/>
      <c r="L31" s="10" t="n"/>
      <c r="M31" s="10" t="n"/>
      <c r="N31" s="8" t="n"/>
      <c r="O31" s="8" t="n"/>
      <c r="P31" s="8" t="n"/>
      <c r="Q31" s="8" t="n"/>
      <c r="R31" s="8" t="n"/>
      <c r="S31" s="8" t="n"/>
      <c r="T31" s="9" t="n"/>
      <c r="U31" s="9" t="n"/>
      <c r="V31" s="9" t="n"/>
      <c r="W31" s="9" t="n"/>
      <c r="X31" s="10" t="n"/>
      <c r="Y31" s="11">
        <f>IF($B31="","",$K31+$L31+$M31-$X31)</f>
        <v/>
      </c>
      <c r="Z31" s="11">
        <f>IF($B31="","",IF(ROW()=6,Inputs!$B$3+Inputs!$B$4-Inputs!$B$5,$AA30))</f>
        <v/>
      </c>
      <c r="AA31" s="11">
        <f>IF($B31="","",$Z31+$Y31)</f>
        <v/>
      </c>
      <c r="AB31" s="12">
        <f>IF($B31="","",IF($Y31&gt;0,1,IF($Y31&lt;0,-1,0)))</f>
        <v/>
      </c>
      <c r="AC31" s="11">
        <f>IF($B31="","",MAX($AA$6:$AA31))</f>
        <v/>
      </c>
      <c r="AD31" s="11">
        <f>IF($B31="","",$AC31-$AA31)</f>
        <v/>
      </c>
      <c r="AE31" s="13">
        <f>IF($B31="","",IF($AC31=0,0,$AD31/$AC31))</f>
        <v/>
      </c>
      <c r="AF31" s="12">
        <f>IF($B31="","",MAX(0,(Inputs!$B$3+Inputs!$B$4-Inputs!$B$5)-$AA31))</f>
        <v/>
      </c>
      <c r="AG31" s="12">
        <f>IF($B31="","",IF($AB31=1,IF($AB30=1,$AG30+1,1),0))</f>
        <v/>
      </c>
      <c r="AH31" s="11">
        <f>IF($B31="","",IF($AB31=1,IF($AB30=1,$AH30+$Y31,$Y31),0))</f>
        <v/>
      </c>
      <c r="AI31" s="12">
        <f>IF($B31="","",IF($AB31=-1,IF($AB30=-1,$AI30+1,1),0))</f>
        <v/>
      </c>
      <c r="AJ31" s="11">
        <f>IF($B31="","",IF($AB31=-1,IF($AB30=-1,$AJ30+ABS($Y31),ABS($Y31)),0))</f>
        <v/>
      </c>
      <c r="AK31" s="12">
        <f>IF($B31="","",IF(AND($AG31&gt;0,OR($AB32&lt;&gt;1,$B32="")),$AG31,""))</f>
        <v/>
      </c>
      <c r="AL31" s="11">
        <f>IF($B31="","",IF(AND($AH31&gt;0,OR($AB32&lt;&gt;1,$B32="")),$AH31,""))</f>
        <v/>
      </c>
      <c r="AM31" s="12">
        <f>IF($B31="","",IF(AND($AI31&gt;0,OR($AB32&lt;&gt;-1,$B32="")),$AI31,""))</f>
        <v/>
      </c>
      <c r="AN31" s="11">
        <f>IF($B31="","",IF(AND($AJ31&gt;0,OR($AB32&lt;&gt;-1,$B32="")),$AJ31,""))</f>
        <v/>
      </c>
    </row>
    <row r="32">
      <c r="A32" s="7" t="n"/>
      <c r="B32" s="8" t="n"/>
      <c r="C32" s="9" t="n"/>
      <c r="D32" s="9" t="n"/>
      <c r="E32" s="10" t="n"/>
      <c r="F32" s="10" t="n"/>
      <c r="G32" s="10" t="n"/>
      <c r="H32" s="10" t="n"/>
      <c r="I32" s="7" t="n"/>
      <c r="J32" s="10" t="n"/>
      <c r="K32" s="10" t="n"/>
      <c r="L32" s="10" t="n"/>
      <c r="M32" s="10" t="n"/>
      <c r="N32" s="8" t="n"/>
      <c r="O32" s="8" t="n"/>
      <c r="P32" s="8" t="n"/>
      <c r="Q32" s="8" t="n"/>
      <c r="R32" s="8" t="n"/>
      <c r="S32" s="8" t="n"/>
      <c r="T32" s="9" t="n"/>
      <c r="U32" s="9" t="n"/>
      <c r="V32" s="9" t="n"/>
      <c r="W32" s="9" t="n"/>
      <c r="X32" s="10" t="n"/>
      <c r="Y32" s="11">
        <f>IF($B32="","",$K32+$L32+$M32-$X32)</f>
        <v/>
      </c>
      <c r="Z32" s="11">
        <f>IF($B32="","",IF(ROW()=6,Inputs!$B$3+Inputs!$B$4-Inputs!$B$5,$AA31))</f>
        <v/>
      </c>
      <c r="AA32" s="11">
        <f>IF($B32="","",$Z32+$Y32)</f>
        <v/>
      </c>
      <c r="AB32" s="12">
        <f>IF($B32="","",IF($Y32&gt;0,1,IF($Y32&lt;0,-1,0)))</f>
        <v/>
      </c>
      <c r="AC32" s="11">
        <f>IF($B32="","",MAX($AA$6:$AA32))</f>
        <v/>
      </c>
      <c r="AD32" s="11">
        <f>IF($B32="","",$AC32-$AA32)</f>
        <v/>
      </c>
      <c r="AE32" s="13">
        <f>IF($B32="","",IF($AC32=0,0,$AD32/$AC32))</f>
        <v/>
      </c>
      <c r="AF32" s="12">
        <f>IF($B32="","",MAX(0,(Inputs!$B$3+Inputs!$B$4-Inputs!$B$5)-$AA32))</f>
        <v/>
      </c>
      <c r="AG32" s="12">
        <f>IF($B32="","",IF($AB32=1,IF($AB31=1,$AG31+1,1),0))</f>
        <v/>
      </c>
      <c r="AH32" s="11">
        <f>IF($B32="","",IF($AB32=1,IF($AB31=1,$AH31+$Y32,$Y32),0))</f>
        <v/>
      </c>
      <c r="AI32" s="12">
        <f>IF($B32="","",IF($AB32=-1,IF($AB31=-1,$AI31+1,1),0))</f>
        <v/>
      </c>
      <c r="AJ32" s="11">
        <f>IF($B32="","",IF($AB32=-1,IF($AB31=-1,$AJ31+ABS($Y32),ABS($Y32)),0))</f>
        <v/>
      </c>
      <c r="AK32" s="12">
        <f>IF($B32="","",IF(AND($AG32&gt;0,OR($AB33&lt;&gt;1,$B33="")),$AG32,""))</f>
        <v/>
      </c>
      <c r="AL32" s="11">
        <f>IF($B32="","",IF(AND($AH32&gt;0,OR($AB33&lt;&gt;1,$B33="")),$AH32,""))</f>
        <v/>
      </c>
      <c r="AM32" s="12">
        <f>IF($B32="","",IF(AND($AI32&gt;0,OR($AB33&lt;&gt;-1,$B33="")),$AI32,""))</f>
        <v/>
      </c>
      <c r="AN32" s="11">
        <f>IF($B32="","",IF(AND($AJ32&gt;0,OR($AB33&lt;&gt;-1,$B33="")),$AJ32,""))</f>
        <v/>
      </c>
    </row>
    <row r="33">
      <c r="A33" s="7" t="n"/>
      <c r="B33" s="8" t="n"/>
      <c r="C33" s="9" t="n"/>
      <c r="D33" s="9" t="n"/>
      <c r="E33" s="10" t="n"/>
      <c r="F33" s="10" t="n"/>
      <c r="G33" s="10" t="n"/>
      <c r="H33" s="10" t="n"/>
      <c r="I33" s="7" t="n"/>
      <c r="J33" s="10" t="n"/>
      <c r="K33" s="10" t="n"/>
      <c r="L33" s="10" t="n"/>
      <c r="M33" s="10" t="n"/>
      <c r="N33" s="8" t="n"/>
      <c r="O33" s="8" t="n"/>
      <c r="P33" s="8" t="n"/>
      <c r="Q33" s="8" t="n"/>
      <c r="R33" s="8" t="n"/>
      <c r="S33" s="8" t="n"/>
      <c r="T33" s="9" t="n"/>
      <c r="U33" s="9" t="n"/>
      <c r="V33" s="9" t="n"/>
      <c r="W33" s="9" t="n"/>
      <c r="X33" s="10" t="n"/>
      <c r="Y33" s="11">
        <f>IF($B33="","",$K33+$L33+$M33-$X33)</f>
        <v/>
      </c>
      <c r="Z33" s="11">
        <f>IF($B33="","",IF(ROW()=6,Inputs!$B$3+Inputs!$B$4-Inputs!$B$5,$AA32))</f>
        <v/>
      </c>
      <c r="AA33" s="11">
        <f>IF($B33="","",$Z33+$Y33)</f>
        <v/>
      </c>
      <c r="AB33" s="12">
        <f>IF($B33="","",IF($Y33&gt;0,1,IF($Y33&lt;0,-1,0)))</f>
        <v/>
      </c>
      <c r="AC33" s="11">
        <f>IF($B33="","",MAX($AA$6:$AA33))</f>
        <v/>
      </c>
      <c r="AD33" s="11">
        <f>IF($B33="","",$AC33-$AA33)</f>
        <v/>
      </c>
      <c r="AE33" s="13">
        <f>IF($B33="","",IF($AC33=0,0,$AD33/$AC33))</f>
        <v/>
      </c>
      <c r="AF33" s="12">
        <f>IF($B33="","",MAX(0,(Inputs!$B$3+Inputs!$B$4-Inputs!$B$5)-$AA33))</f>
        <v/>
      </c>
      <c r="AG33" s="12">
        <f>IF($B33="","",IF($AB33=1,IF($AB32=1,$AG32+1,1),0))</f>
        <v/>
      </c>
      <c r="AH33" s="11">
        <f>IF($B33="","",IF($AB33=1,IF($AB32=1,$AH32+$Y33,$Y33),0))</f>
        <v/>
      </c>
      <c r="AI33" s="12">
        <f>IF($B33="","",IF($AB33=-1,IF($AB32=-1,$AI32+1,1),0))</f>
        <v/>
      </c>
      <c r="AJ33" s="11">
        <f>IF($B33="","",IF($AB33=-1,IF($AB32=-1,$AJ32+ABS($Y33),ABS($Y33)),0))</f>
        <v/>
      </c>
      <c r="AK33" s="12">
        <f>IF($B33="","",IF(AND($AG33&gt;0,OR($AB34&lt;&gt;1,$B34="")),$AG33,""))</f>
        <v/>
      </c>
      <c r="AL33" s="11">
        <f>IF($B33="","",IF(AND($AH33&gt;0,OR($AB34&lt;&gt;1,$B34="")),$AH33,""))</f>
        <v/>
      </c>
      <c r="AM33" s="12">
        <f>IF($B33="","",IF(AND($AI33&gt;0,OR($AB34&lt;&gt;-1,$B34="")),$AI33,""))</f>
        <v/>
      </c>
      <c r="AN33" s="11">
        <f>IF($B33="","",IF(AND($AJ33&gt;0,OR($AB34&lt;&gt;-1,$B34="")),$AJ33,""))</f>
        <v/>
      </c>
    </row>
    <row r="34">
      <c r="A34" s="7" t="n"/>
      <c r="B34" s="8" t="n"/>
      <c r="C34" s="9" t="n"/>
      <c r="D34" s="9" t="n"/>
      <c r="E34" s="10" t="n"/>
      <c r="F34" s="10" t="n"/>
      <c r="G34" s="10" t="n"/>
      <c r="H34" s="10" t="n"/>
      <c r="I34" s="7" t="n"/>
      <c r="J34" s="10" t="n"/>
      <c r="K34" s="10" t="n"/>
      <c r="L34" s="10" t="n"/>
      <c r="M34" s="10" t="n"/>
      <c r="N34" s="8" t="n"/>
      <c r="O34" s="8" t="n"/>
      <c r="P34" s="8" t="n"/>
      <c r="Q34" s="8" t="n"/>
      <c r="R34" s="8" t="n"/>
      <c r="S34" s="8" t="n"/>
      <c r="T34" s="9" t="n"/>
      <c r="U34" s="9" t="n"/>
      <c r="V34" s="9" t="n"/>
      <c r="W34" s="9" t="n"/>
      <c r="X34" s="10" t="n"/>
      <c r="Y34" s="11">
        <f>IF($B34="","",$K34+$L34+$M34-$X34)</f>
        <v/>
      </c>
      <c r="Z34" s="11">
        <f>IF($B34="","",IF(ROW()=6,Inputs!$B$3+Inputs!$B$4-Inputs!$B$5,$AA33))</f>
        <v/>
      </c>
      <c r="AA34" s="11">
        <f>IF($B34="","",$Z34+$Y34)</f>
        <v/>
      </c>
      <c r="AB34" s="12">
        <f>IF($B34="","",IF($Y34&gt;0,1,IF($Y34&lt;0,-1,0)))</f>
        <v/>
      </c>
      <c r="AC34" s="11">
        <f>IF($B34="","",MAX($AA$6:$AA34))</f>
        <v/>
      </c>
      <c r="AD34" s="11">
        <f>IF($B34="","",$AC34-$AA34)</f>
        <v/>
      </c>
      <c r="AE34" s="13">
        <f>IF($B34="","",IF($AC34=0,0,$AD34/$AC34))</f>
        <v/>
      </c>
      <c r="AF34" s="12">
        <f>IF($B34="","",MAX(0,(Inputs!$B$3+Inputs!$B$4-Inputs!$B$5)-$AA34))</f>
        <v/>
      </c>
      <c r="AG34" s="12">
        <f>IF($B34="","",IF($AB34=1,IF($AB33=1,$AG33+1,1),0))</f>
        <v/>
      </c>
      <c r="AH34" s="11">
        <f>IF($B34="","",IF($AB34=1,IF($AB33=1,$AH33+$Y34,$Y34),0))</f>
        <v/>
      </c>
      <c r="AI34" s="12">
        <f>IF($B34="","",IF($AB34=-1,IF($AB33=-1,$AI33+1,1),0))</f>
        <v/>
      </c>
      <c r="AJ34" s="11">
        <f>IF($B34="","",IF($AB34=-1,IF($AB33=-1,$AJ33+ABS($Y34),ABS($Y34)),0))</f>
        <v/>
      </c>
      <c r="AK34" s="12">
        <f>IF($B34="","",IF(AND($AG34&gt;0,OR($AB35&lt;&gt;1,$B35="")),$AG34,""))</f>
        <v/>
      </c>
      <c r="AL34" s="11">
        <f>IF($B34="","",IF(AND($AH34&gt;0,OR($AB35&lt;&gt;1,$B35="")),$AH34,""))</f>
        <v/>
      </c>
      <c r="AM34" s="12">
        <f>IF($B34="","",IF(AND($AI34&gt;0,OR($AB35&lt;&gt;-1,$B35="")),$AI34,""))</f>
        <v/>
      </c>
      <c r="AN34" s="11">
        <f>IF($B34="","",IF(AND($AJ34&gt;0,OR($AB35&lt;&gt;-1,$B35="")),$AJ34,""))</f>
        <v/>
      </c>
    </row>
    <row r="35">
      <c r="A35" s="7" t="n"/>
      <c r="B35" s="8" t="n"/>
      <c r="C35" s="9" t="n"/>
      <c r="D35" s="9" t="n"/>
      <c r="E35" s="10" t="n"/>
      <c r="F35" s="10" t="n"/>
      <c r="G35" s="10" t="n"/>
      <c r="H35" s="10" t="n"/>
      <c r="I35" s="7" t="n"/>
      <c r="J35" s="10" t="n"/>
      <c r="K35" s="10" t="n"/>
      <c r="L35" s="10" t="n"/>
      <c r="M35" s="10" t="n"/>
      <c r="N35" s="8" t="n"/>
      <c r="O35" s="8" t="n"/>
      <c r="P35" s="8" t="n"/>
      <c r="Q35" s="8" t="n"/>
      <c r="R35" s="8" t="n"/>
      <c r="S35" s="8" t="n"/>
      <c r="T35" s="9" t="n"/>
      <c r="U35" s="9" t="n"/>
      <c r="V35" s="9" t="n"/>
      <c r="W35" s="9" t="n"/>
      <c r="X35" s="10" t="n"/>
      <c r="Y35" s="11">
        <f>IF($B35="","",$K35+$L35+$M35-$X35)</f>
        <v/>
      </c>
      <c r="Z35" s="11">
        <f>IF($B35="","",IF(ROW()=6,Inputs!$B$3+Inputs!$B$4-Inputs!$B$5,$AA34))</f>
        <v/>
      </c>
      <c r="AA35" s="11">
        <f>IF($B35="","",$Z35+$Y35)</f>
        <v/>
      </c>
      <c r="AB35" s="12">
        <f>IF($B35="","",IF($Y35&gt;0,1,IF($Y35&lt;0,-1,0)))</f>
        <v/>
      </c>
      <c r="AC35" s="11">
        <f>IF($B35="","",MAX($AA$6:$AA35))</f>
        <v/>
      </c>
      <c r="AD35" s="11">
        <f>IF($B35="","",$AC35-$AA35)</f>
        <v/>
      </c>
      <c r="AE35" s="13">
        <f>IF($B35="","",IF($AC35=0,0,$AD35/$AC35))</f>
        <v/>
      </c>
      <c r="AF35" s="12">
        <f>IF($B35="","",MAX(0,(Inputs!$B$3+Inputs!$B$4-Inputs!$B$5)-$AA35))</f>
        <v/>
      </c>
      <c r="AG35" s="12">
        <f>IF($B35="","",IF($AB35=1,IF($AB34=1,$AG34+1,1),0))</f>
        <v/>
      </c>
      <c r="AH35" s="11">
        <f>IF($B35="","",IF($AB35=1,IF($AB34=1,$AH34+$Y35,$Y35),0))</f>
        <v/>
      </c>
      <c r="AI35" s="12">
        <f>IF($B35="","",IF($AB35=-1,IF($AB34=-1,$AI34+1,1),0))</f>
        <v/>
      </c>
      <c r="AJ35" s="11">
        <f>IF($B35="","",IF($AB35=-1,IF($AB34=-1,$AJ34+ABS($Y35),ABS($Y35)),0))</f>
        <v/>
      </c>
      <c r="AK35" s="12">
        <f>IF($B35="","",IF($AG35&gt;0,$AG35,""))</f>
        <v/>
      </c>
      <c r="AL35" s="11">
        <f>IF($B35="","",IF($AH35&gt;0,$AH35,""))</f>
        <v/>
      </c>
      <c r="AM35" s="12">
        <f>IF($B35="","",IF($AI35&gt;0,$AI35,""))</f>
        <v/>
      </c>
      <c r="AN35" s="11">
        <f>IF($B35="","",IF($AJ35&gt;0,$AJ35,""))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4" customWidth="1" min="3" max="3"/>
  </cols>
  <sheetData>
    <row r="1">
      <c r="A1" s="1" t="inlineStr">
        <is>
          <t>MT5 Summary (auto from Positions)</t>
        </is>
      </c>
    </row>
    <row r="2">
      <c r="A2" s="5" t="inlineStr">
        <is>
          <t>Value = live formula. Formula Ref = audit guide.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Formula Ref</t>
        </is>
      </c>
    </row>
    <row r="5">
      <c r="A5" s="14" t="inlineStr">
        <is>
          <t>Balance</t>
        </is>
      </c>
      <c r="B5" s="15">
        <f>Inputs!$B$3+Inputs!$B$4-Inputs!$B$5+SUM(Positions!$Y$6:$Y$35)</f>
        <v/>
      </c>
      <c r="C5" s="14" t="inlineStr">
        <is>
          <t>Start Balance + Deposits - Withdrawals + SUM(Net P/L)</t>
        </is>
      </c>
    </row>
    <row r="6">
      <c r="A6" s="14" t="inlineStr">
        <is>
          <t>Credit Facility</t>
        </is>
      </c>
      <c r="B6" s="15">
        <f>Inputs!$B$6</f>
        <v/>
      </c>
      <c r="C6" s="14" t="inlineStr">
        <is>
          <t>Inputs!B6</t>
        </is>
      </c>
    </row>
    <row r="7">
      <c r="A7" s="14" t="inlineStr">
        <is>
          <t>Floating P/L</t>
        </is>
      </c>
      <c r="B7" s="15">
        <f>Inputs!$B$7</f>
        <v/>
      </c>
      <c r="C7" s="14" t="inlineStr">
        <is>
          <t>Inputs!B7</t>
        </is>
      </c>
    </row>
    <row r="8">
      <c r="A8" s="14" t="inlineStr">
        <is>
          <t>Equity</t>
        </is>
      </c>
      <c r="B8" s="15">
        <f>B5+B6+B7</f>
        <v/>
      </c>
      <c r="C8" s="14" t="inlineStr">
        <is>
          <t>Balance + Credit Facility + Floating P/L</t>
        </is>
      </c>
    </row>
    <row r="9">
      <c r="A9" s="14" t="inlineStr">
        <is>
          <t>Free Margin</t>
        </is>
      </c>
      <c r="B9" s="15">
        <f>B8-B10</f>
        <v/>
      </c>
      <c r="C9" s="14" t="inlineStr">
        <is>
          <t>Equity - Margin</t>
        </is>
      </c>
    </row>
    <row r="10">
      <c r="A10" s="14" t="inlineStr">
        <is>
          <t>Margin</t>
        </is>
      </c>
      <c r="B10" s="15">
        <f>Inputs!$B$8</f>
        <v/>
      </c>
      <c r="C10" s="14" t="inlineStr">
        <is>
          <t>Inputs!B8</t>
        </is>
      </c>
    </row>
    <row r="11">
      <c r="A11" s="14" t="inlineStr">
        <is>
          <t>Margin Level</t>
        </is>
      </c>
      <c r="B11" s="16">
        <f>IF(B10=0,0,B8/B10)</f>
        <v/>
      </c>
      <c r="C11" s="14" t="inlineStr">
        <is>
          <t>IF(Margin=0,0,Equity/Margin)</t>
        </is>
      </c>
    </row>
    <row r="12">
      <c r="A12" s="14" t="inlineStr">
        <is>
          <t>Total Net Profit</t>
        </is>
      </c>
      <c r="B12" s="15">
        <f>SUM(Positions!$Y$6:$Y$35)</f>
        <v/>
      </c>
      <c r="C12" s="14" t="inlineStr">
        <is>
          <t>SUM(Net P/L)</t>
        </is>
      </c>
    </row>
    <row r="13">
      <c r="A13" s="14" t="inlineStr">
        <is>
          <t>Gross Profit</t>
        </is>
      </c>
      <c r="B13" s="15">
        <f>SUMIF(Positions!$Y$6:$Y$35,"&gt;0")</f>
        <v/>
      </c>
      <c r="C13" s="14" t="inlineStr">
        <is>
          <t>SUMIF(Net P/L,"&gt;0")</t>
        </is>
      </c>
    </row>
    <row r="14">
      <c r="A14" s="14" t="inlineStr">
        <is>
          <t>Gross Loss</t>
        </is>
      </c>
      <c r="B14" s="15">
        <f>SUMIF(Positions!$Y$6:$Y$35,"&lt;0")</f>
        <v/>
      </c>
      <c r="C14" s="14" t="inlineStr">
        <is>
          <t>SUMIF(Net P/L,"&lt;0")</t>
        </is>
      </c>
    </row>
    <row r="15">
      <c r="A15" s="14" t="inlineStr">
        <is>
          <t>Profit Factor</t>
        </is>
      </c>
      <c r="B15" s="17">
        <f>IF(ABS(B14)=0,0,B13/ABS(B14))</f>
        <v/>
      </c>
      <c r="C15" s="14" t="inlineStr">
        <is>
          <t>Gross Profit / ABS(Gross Loss)</t>
        </is>
      </c>
    </row>
    <row r="16">
      <c r="A16" s="14" t="inlineStr">
        <is>
          <t>Expected Payoff</t>
        </is>
      </c>
      <c r="B16" s="15">
        <f>IF(B19=0,0,B12/B19)</f>
        <v/>
      </c>
      <c r="C16" s="14" t="inlineStr">
        <is>
          <t>Total Net Profit / Total Trades</t>
        </is>
      </c>
    </row>
    <row r="17">
      <c r="A17" s="14" t="inlineStr">
        <is>
          <t>Recovery Factor</t>
        </is>
      </c>
      <c r="B17" s="15">
        <f>IF(ABS(B17)=0,0,B12/ABS(B17))</f>
        <v/>
      </c>
      <c r="C17" s="14" t="inlineStr">
        <is>
          <t>Total Net Profit / ABS(Balance Drawdown Maximal)</t>
        </is>
      </c>
    </row>
    <row r="18">
      <c r="A18" s="14" t="inlineStr">
        <is>
          <t>Sharpe Ratio</t>
        </is>
      </c>
      <c r="B18" s="16">
        <f>IFERROR(AVERAGEIF(Positions!$Y$6:$Y$35,"&lt;&gt;0")/STDEV.S(Positions!$Y$6:$Y$35)*SQRT(B19),0)</f>
        <v/>
      </c>
      <c r="C18" s="14" t="inlineStr">
        <is>
          <t>AVERAGE(non-zero Net P/L) / STDEV.S(Net P/L) * SQRT(Total Trades)</t>
        </is>
      </c>
    </row>
    <row r="19">
      <c r="A19" s="14" t="inlineStr">
        <is>
          <t>Balance Drawdown Absolute</t>
        </is>
      </c>
      <c r="B19" s="18">
        <f>MAX(Positions!$AF$6:$AF$35)</f>
        <v/>
      </c>
      <c r="C19" s="14" t="inlineStr">
        <is>
          <t>MAX(Abs DD From Start)</t>
        </is>
      </c>
    </row>
    <row r="20">
      <c r="A20" s="14" t="inlineStr">
        <is>
          <t>Balance Drawdown Maximal</t>
        </is>
      </c>
      <c r="B20" s="19">
        <f>MAX(Positions!$AD$6:$AD$35)</f>
        <v/>
      </c>
      <c r="C20" s="14" t="inlineStr">
        <is>
          <t>MAX(Drawdown Abs)</t>
        </is>
      </c>
    </row>
    <row r="21">
      <c r="A21" s="14" t="inlineStr">
        <is>
          <t>Balance Drawdown Relative</t>
        </is>
      </c>
      <c r="B21" s="19">
        <f>MAX(Positions!$AE$6:$AE$35)</f>
        <v/>
      </c>
      <c r="C21" s="14" t="inlineStr">
        <is>
          <t>MAX(Drawdown Rel)</t>
        </is>
      </c>
    </row>
    <row r="22">
      <c r="A22" s="14" t="inlineStr">
        <is>
          <t>Total Trades</t>
        </is>
      </c>
      <c r="B22" s="19">
        <f>COUNT(Positions!$B$6:$B$35)</f>
        <v/>
      </c>
      <c r="C22" s="14" t="inlineStr">
        <is>
          <t>COUNT(Position)</t>
        </is>
      </c>
    </row>
    <row r="23">
      <c r="A23" s="14" t="inlineStr">
        <is>
          <t>Short Trades (won %)</t>
        </is>
      </c>
      <c r="B23" s="15">
        <f>COUNTIF(Positions!$D$6:$D$35,"sell")&amp;" ("&amp;TEXT(IFERROR(COUNTIFS(Positions!$D$6:$D$35,"sell",Positions!$Y$6:$Y$35,"&gt;0")/COUNTIF(Positions!$D$6:$D$35,"sell"),0),"0.00%")&amp;")"</f>
        <v/>
      </c>
      <c r="C23" s="14" t="inlineStr">
        <is>
          <t>Sell trades count &amp; win %</t>
        </is>
      </c>
    </row>
    <row r="24">
      <c r="A24" s="14" t="inlineStr">
        <is>
          <t>Long Trades (won %)</t>
        </is>
      </c>
      <c r="B24" s="15">
        <f>COUNTIF(Positions!$D$6:$D$35,"buy")&amp;" ("&amp;TEXT(IFERROR(COUNTIFS(Positions!$D$6:$D$35,"buy",Positions!$Y$6:$Y$35,"&gt;0")/COUNTIF(Positions!$D$6:$D$35,"buy"),0),"0.00%")&amp;")"</f>
        <v/>
      </c>
      <c r="C24" s="14" t="inlineStr">
        <is>
          <t>Buy trades count &amp; win %</t>
        </is>
      </c>
    </row>
    <row r="25">
      <c r="A25" s="14" t="inlineStr">
        <is>
          <t>Profit Trades (% of total)</t>
        </is>
      </c>
      <c r="B25" s="15">
        <f>COUNTIF(Positions!$Y$6:$Y$35,"&gt;0")&amp;" ("&amp;TEXT(IFERROR(COUNTIF(Positions!$Y$6:$Y$35,"&gt;0")/COUNT(Positions!$B$6:$B$35),0),"0.00%")&amp;")"</f>
        <v/>
      </c>
      <c r="C25" s="14" t="inlineStr">
        <is>
          <t>Winning trades count &amp; % total</t>
        </is>
      </c>
    </row>
    <row r="26">
      <c r="A26" s="14" t="inlineStr">
        <is>
          <t>Loss Trades (% of total)</t>
        </is>
      </c>
      <c r="B26" s="15">
        <f>COUNTIF(Positions!$Y$6:$Y$35,"&lt;0")&amp;" ("&amp;TEXT(IFERROR(COUNTIF(Positions!$Y$6:$Y$35,"&lt;0")/COUNT(Positions!$B$6:$B$35),0),"0.00%")&amp;")"</f>
        <v/>
      </c>
      <c r="C26" s="14" t="inlineStr">
        <is>
          <t>Losing trades count &amp; % total</t>
        </is>
      </c>
    </row>
    <row r="27">
      <c r="A27" s="14" t="inlineStr">
        <is>
          <t>Largest profit trade</t>
        </is>
      </c>
      <c r="B27" s="19">
        <f>MAX(Positions!$Y$6:$Y$35)</f>
        <v/>
      </c>
      <c r="C27" s="14" t="inlineStr">
        <is>
          <t>MAX(Net P/L)</t>
        </is>
      </c>
    </row>
    <row r="28">
      <c r="A28" s="14" t="inlineStr">
        <is>
          <t>Largest loss trade</t>
        </is>
      </c>
      <c r="B28" s="19">
        <f>MIN(Positions!$Y$6:$Y$35)</f>
        <v/>
      </c>
      <c r="C28" s="14" t="inlineStr">
        <is>
          <t>MIN(Net P/L)</t>
        </is>
      </c>
    </row>
    <row r="29">
      <c r="A29" s="14" t="inlineStr">
        <is>
          <t>Average profit trade</t>
        </is>
      </c>
      <c r="B29" s="19">
        <f>IFERROR(AVERAGEIF(Positions!$Y$6:$Y$35,"&gt;0"),0)</f>
        <v/>
      </c>
      <c r="C29" s="14" t="inlineStr">
        <is>
          <t>AVERAGEIF(Net P/L,"&gt;0")</t>
        </is>
      </c>
    </row>
    <row r="30">
      <c r="A30" s="14" t="inlineStr">
        <is>
          <t>Average loss trade</t>
        </is>
      </c>
      <c r="B30" s="19">
        <f>IFERROR(AVERAGEIF(Positions!$Y$6:$Y$35,"&lt;0"),0)</f>
        <v/>
      </c>
      <c r="C30" s="14" t="inlineStr">
        <is>
          <t>AVERAGEIF(Net P/L,"&lt;0")</t>
        </is>
      </c>
    </row>
    <row r="31">
      <c r="A31" s="14" t="inlineStr">
        <is>
          <t>Maximum consecutive wins ($)</t>
        </is>
      </c>
      <c r="B31" s="17">
        <f>MAX(Positions!$AK$6:$AK$35)&amp;" ("&amp;TEXT(INDEX(Positions!$AL$6:$AL$35,MATCH(MAX(Positions!$AK$6:$AK$35),Positions!$AK$6:$AK$35,0)),"0.00")&amp;")"</f>
        <v/>
      </c>
      <c r="C31" s="14" t="inlineStr">
        <is>
          <t>Longest win streak count and corresponding $</t>
        </is>
      </c>
    </row>
    <row r="32">
      <c r="A32" s="14" t="inlineStr">
        <is>
          <t>Maximum consecutive losses ($)</t>
        </is>
      </c>
      <c r="B32" s="17">
        <f>MAX(Positions!$AM$6:$AM$35)&amp;" ("&amp;TEXT(-INDEX(Positions!$AN$6:$AN$35,MATCH(MAX(Positions!$AM$6:$AM$35),Positions!$AM$6:$AM$35,0)),"0.00")&amp;")"</f>
        <v/>
      </c>
      <c r="C32" s="14" t="inlineStr">
        <is>
          <t>Longest loss streak count and corresponding $</t>
        </is>
      </c>
    </row>
    <row r="33">
      <c r="A33" s="14" t="inlineStr">
        <is>
          <t>Maximal consecutive profit (count)</t>
        </is>
      </c>
      <c r="B33" s="19">
        <f>TEXT(MAX(Positions!$AL$6:$AL$35),"0.00")&amp;" ("&amp;INDEX(Positions!$AK$6:$AK$35,MATCH(MAX(Positions!$AL$6:$AL$35),Positions!$AL$6:$AL$35,0))&amp;")"</f>
        <v/>
      </c>
      <c r="C33" s="14" t="inlineStr">
        <is>
          <t>Largest win-streak $ and count</t>
        </is>
      </c>
    </row>
    <row r="34">
      <c r="A34" s="14" t="inlineStr">
        <is>
          <t>Maximal consecutive loss (count)</t>
        </is>
      </c>
      <c r="B34" s="19">
        <f>"-"&amp;TEXT(MAX(Positions!$AN$6:$AN$35),"0.00")&amp;" ("&amp;INDEX(Positions!$AM$6:$AM$35,MATCH(MAX(Positions!$AN$6:$AN$35),Positions!$AN$6:$AN$35,0))&amp;")"</f>
        <v/>
      </c>
      <c r="C34" s="14" t="inlineStr">
        <is>
          <t>Largest loss-streak $ and count</t>
        </is>
      </c>
    </row>
    <row r="35">
      <c r="A35" s="14" t="inlineStr">
        <is>
          <t>Average consecutive wins</t>
        </is>
      </c>
      <c r="B35" s="19">
        <f>IFERROR(AVERAGEIF(Positions!$AK$6:$AK$35,"&gt;0"),0)</f>
        <v/>
      </c>
      <c r="C35" s="14" t="inlineStr">
        <is>
          <t>AVERAGEIF(Win End Count,"&gt;0")</t>
        </is>
      </c>
    </row>
    <row r="36">
      <c r="A36" s="14" t="inlineStr">
        <is>
          <t>Average consecutive losses</t>
        </is>
      </c>
      <c r="B36" s="19">
        <f>IFERROR(AVERAGEIF(Positions!$AM$6:$AM$35,"&gt;0"),0)</f>
        <v/>
      </c>
      <c r="C36" s="14" t="inlineStr">
        <is>
          <t>AVERAGEIF(Loss End Count,"&gt;0")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9" customWidth="1" min="9" max="9"/>
    <col width="10" customWidth="1" min="10" max="10"/>
    <col width="16" customWidth="1" min="11" max="11"/>
  </cols>
  <sheetData>
    <row r="1">
      <c r="A1" s="20" t="inlineStr">
        <is>
          <t>Orders (auto from Positions)</t>
        </is>
      </c>
    </row>
    <row r="3">
      <c r="A3" s="6" t="inlineStr">
        <is>
          <t>Open Time</t>
        </is>
      </c>
      <c r="B3" s="6" t="inlineStr">
        <is>
          <t>Order</t>
        </is>
      </c>
      <c r="C3" s="6" t="inlineStr">
        <is>
          <t>Symbol</t>
        </is>
      </c>
      <c r="D3" s="6" t="inlineStr">
        <is>
          <t>Type</t>
        </is>
      </c>
      <c r="E3" s="6" t="inlineStr">
        <is>
          <t>Volume</t>
        </is>
      </c>
      <c r="F3" s="6" t="inlineStr">
        <is>
          <t>Price</t>
        </is>
      </c>
      <c r="G3" s="6" t="inlineStr">
        <is>
          <t>S / L</t>
        </is>
      </c>
      <c r="H3" s="6" t="inlineStr">
        <is>
          <t>T / P</t>
        </is>
      </c>
      <c r="I3" s="6" t="inlineStr">
        <is>
          <t>Time</t>
        </is>
      </c>
      <c r="J3" s="6" t="inlineStr">
        <is>
          <t>State</t>
        </is>
      </c>
      <c r="K3" s="6" t="inlineStr">
        <is>
          <t>Comment</t>
        </is>
      </c>
    </row>
    <row r="4">
      <c r="A4" s="21">
        <f>IF(INDEX(Positions!$B$6:$B$35,INT((ROW()-4)/2)+1)="","",IF(MOD(ROW()-4,2)=0,INDEX(Positions!$A$6:$A$35,INT((ROW()-4)/2)+1),INDEX(Positions!$I$6:$I$35,INT((ROW()-4)/2)+1)))</f>
        <v/>
      </c>
      <c r="B4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" s="22">
        <f>IF(INDEX(Positions!$B$6:$B$35,INT((ROW()-4)/2)+1)="","",INDEX(Positions!$C$6:$C$35,INT((ROW()-4)/2)+1))</f>
        <v/>
      </c>
      <c r="D4" s="22">
        <f>IF(INDEX(Positions!$B$6:$B$35,INT((ROW()-4)/2)+1)="","",IF(MOD(ROW()-4,2)=0,INDEX(Positions!$D$6:$D$35,INT((ROW()-4)/2)+1),IF(INDEX(Positions!$D$6:$D$35,INT((ROW()-4)/2)+1)="buy","sell","buy")))</f>
        <v/>
      </c>
      <c r="E4" s="22">
        <f>IF(INDEX(Positions!$B$6:$B$35,INT((ROW()-4)/2)+1)="","",TEXT(INDEX(Positions!$E$6:$E$35,INT((ROW()-4)/2)+1),"0.00")&amp;" / "&amp;TEXT(INDEX(Positions!$E$6:$E$35,INT((ROW()-4)/2)+1),"0.00"))</f>
        <v/>
      </c>
      <c r="F4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" s="22">
        <f>IF(INDEX(Positions!$B$6:$B$35,INT((ROW()-4)/2)+1)="","",IF(MOD(ROW()-4,2)=0,INDEX(Positions!$G$6:$G$35,INT((ROW()-4)/2)+1),""))</f>
        <v/>
      </c>
      <c r="H4" s="22">
        <f>IF(INDEX(Positions!$B$6:$B$35,INT((ROW()-4)/2)+1)="","",IF(MOD(ROW()-4,2)=0,INDEX(Positions!$H$6:$H$35,INT((ROW()-4)/2)+1),""))</f>
        <v/>
      </c>
      <c r="I4" s="21">
        <f>IF(INDEX(Positions!$B$6:$B$35,INT((ROW()-4)/2)+1)="","",IF(MOD(ROW()-4,2)=0,INDEX(Positions!$A$6:$A$35,INT((ROW()-4)/2)+1),INDEX(Positions!$I$6:$I$35,INT((ROW()-4)/2)+1)))</f>
        <v/>
      </c>
      <c r="J4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" s="22">
        <f>IF(INDEX(Positions!$B$6:$B$35,INT((ROW()-4)/2)+1)="","",IF(MOD(ROW()-4,2)=0,INDEX(Positions!$V$6:$V$35,INT((ROW()-4)/2)+1),INDEX(Positions!$W$6:$W$35,INT((ROW()-4)/2)+1)))</f>
        <v/>
      </c>
    </row>
    <row r="5">
      <c r="A5" s="21">
        <f>IF(INDEX(Positions!$B$6:$B$35,INT((ROW()-4)/2)+1)="","",IF(MOD(ROW()-4,2)=0,INDEX(Positions!$A$6:$A$35,INT((ROW()-4)/2)+1),INDEX(Positions!$I$6:$I$35,INT((ROW()-4)/2)+1)))</f>
        <v/>
      </c>
      <c r="B5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" s="22">
        <f>IF(INDEX(Positions!$B$6:$B$35,INT((ROW()-4)/2)+1)="","",INDEX(Positions!$C$6:$C$35,INT((ROW()-4)/2)+1))</f>
        <v/>
      </c>
      <c r="D5" s="22">
        <f>IF(INDEX(Positions!$B$6:$B$35,INT((ROW()-4)/2)+1)="","",IF(MOD(ROW()-4,2)=0,INDEX(Positions!$D$6:$D$35,INT((ROW()-4)/2)+1),IF(INDEX(Positions!$D$6:$D$35,INT((ROW()-4)/2)+1)="buy","sell","buy")))</f>
        <v/>
      </c>
      <c r="E5" s="22">
        <f>IF(INDEX(Positions!$B$6:$B$35,INT((ROW()-4)/2)+1)="","",TEXT(INDEX(Positions!$E$6:$E$35,INT((ROW()-4)/2)+1),"0.00")&amp;" / "&amp;TEXT(INDEX(Positions!$E$6:$E$35,INT((ROW()-4)/2)+1),"0.00"))</f>
        <v/>
      </c>
      <c r="F5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" s="22">
        <f>IF(INDEX(Positions!$B$6:$B$35,INT((ROW()-4)/2)+1)="","",IF(MOD(ROW()-4,2)=0,INDEX(Positions!$G$6:$G$35,INT((ROW()-4)/2)+1),""))</f>
        <v/>
      </c>
      <c r="H5" s="22">
        <f>IF(INDEX(Positions!$B$6:$B$35,INT((ROW()-4)/2)+1)="","",IF(MOD(ROW()-4,2)=0,INDEX(Positions!$H$6:$H$35,INT((ROW()-4)/2)+1),""))</f>
        <v/>
      </c>
      <c r="I5" s="21">
        <f>IF(INDEX(Positions!$B$6:$B$35,INT((ROW()-4)/2)+1)="","",IF(MOD(ROW()-4,2)=0,INDEX(Positions!$A$6:$A$35,INT((ROW()-4)/2)+1),INDEX(Positions!$I$6:$I$35,INT((ROW()-4)/2)+1)))</f>
        <v/>
      </c>
      <c r="J5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" s="22">
        <f>IF(INDEX(Positions!$B$6:$B$35,INT((ROW()-4)/2)+1)="","",IF(MOD(ROW()-4,2)=0,INDEX(Positions!$V$6:$V$35,INT((ROW()-4)/2)+1),INDEX(Positions!$W$6:$W$35,INT((ROW()-4)/2)+1)))</f>
        <v/>
      </c>
    </row>
    <row r="6">
      <c r="A6" s="21">
        <f>IF(INDEX(Positions!$B$6:$B$35,INT((ROW()-4)/2)+1)="","",IF(MOD(ROW()-4,2)=0,INDEX(Positions!$A$6:$A$35,INT((ROW()-4)/2)+1),INDEX(Positions!$I$6:$I$35,INT((ROW()-4)/2)+1)))</f>
        <v/>
      </c>
      <c r="B6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6" s="22">
        <f>IF(INDEX(Positions!$B$6:$B$35,INT((ROW()-4)/2)+1)="","",INDEX(Positions!$C$6:$C$35,INT((ROW()-4)/2)+1))</f>
        <v/>
      </c>
      <c r="D6" s="22">
        <f>IF(INDEX(Positions!$B$6:$B$35,INT((ROW()-4)/2)+1)="","",IF(MOD(ROW()-4,2)=0,INDEX(Positions!$D$6:$D$35,INT((ROW()-4)/2)+1),IF(INDEX(Positions!$D$6:$D$35,INT((ROW()-4)/2)+1)="buy","sell","buy")))</f>
        <v/>
      </c>
      <c r="E6" s="22">
        <f>IF(INDEX(Positions!$B$6:$B$35,INT((ROW()-4)/2)+1)="","",TEXT(INDEX(Positions!$E$6:$E$35,INT((ROW()-4)/2)+1),"0.00")&amp;" / "&amp;TEXT(INDEX(Positions!$E$6:$E$35,INT((ROW()-4)/2)+1),"0.00"))</f>
        <v/>
      </c>
      <c r="F6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6" s="22">
        <f>IF(INDEX(Positions!$B$6:$B$35,INT((ROW()-4)/2)+1)="","",IF(MOD(ROW()-4,2)=0,INDEX(Positions!$G$6:$G$35,INT((ROW()-4)/2)+1),""))</f>
        <v/>
      </c>
      <c r="H6" s="22">
        <f>IF(INDEX(Positions!$B$6:$B$35,INT((ROW()-4)/2)+1)="","",IF(MOD(ROW()-4,2)=0,INDEX(Positions!$H$6:$H$35,INT((ROW()-4)/2)+1),""))</f>
        <v/>
      </c>
      <c r="I6" s="21">
        <f>IF(INDEX(Positions!$B$6:$B$35,INT((ROW()-4)/2)+1)="","",IF(MOD(ROW()-4,2)=0,INDEX(Positions!$A$6:$A$35,INT((ROW()-4)/2)+1),INDEX(Positions!$I$6:$I$35,INT((ROW()-4)/2)+1)))</f>
        <v/>
      </c>
      <c r="J6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6" s="22">
        <f>IF(INDEX(Positions!$B$6:$B$35,INT((ROW()-4)/2)+1)="","",IF(MOD(ROW()-4,2)=0,INDEX(Positions!$V$6:$V$35,INT((ROW()-4)/2)+1),INDEX(Positions!$W$6:$W$35,INT((ROW()-4)/2)+1)))</f>
        <v/>
      </c>
    </row>
    <row r="7">
      <c r="A7" s="21">
        <f>IF(INDEX(Positions!$B$6:$B$35,INT((ROW()-4)/2)+1)="","",IF(MOD(ROW()-4,2)=0,INDEX(Positions!$A$6:$A$35,INT((ROW()-4)/2)+1),INDEX(Positions!$I$6:$I$35,INT((ROW()-4)/2)+1)))</f>
        <v/>
      </c>
      <c r="B7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7" s="22">
        <f>IF(INDEX(Positions!$B$6:$B$35,INT((ROW()-4)/2)+1)="","",INDEX(Positions!$C$6:$C$35,INT((ROW()-4)/2)+1))</f>
        <v/>
      </c>
      <c r="D7" s="22">
        <f>IF(INDEX(Positions!$B$6:$B$35,INT((ROW()-4)/2)+1)="","",IF(MOD(ROW()-4,2)=0,INDEX(Positions!$D$6:$D$35,INT((ROW()-4)/2)+1),IF(INDEX(Positions!$D$6:$D$35,INT((ROW()-4)/2)+1)="buy","sell","buy")))</f>
        <v/>
      </c>
      <c r="E7" s="22">
        <f>IF(INDEX(Positions!$B$6:$B$35,INT((ROW()-4)/2)+1)="","",TEXT(INDEX(Positions!$E$6:$E$35,INT((ROW()-4)/2)+1),"0.00")&amp;" / "&amp;TEXT(INDEX(Positions!$E$6:$E$35,INT((ROW()-4)/2)+1),"0.00"))</f>
        <v/>
      </c>
      <c r="F7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7" s="22">
        <f>IF(INDEX(Positions!$B$6:$B$35,INT((ROW()-4)/2)+1)="","",IF(MOD(ROW()-4,2)=0,INDEX(Positions!$G$6:$G$35,INT((ROW()-4)/2)+1),""))</f>
        <v/>
      </c>
      <c r="H7" s="22">
        <f>IF(INDEX(Positions!$B$6:$B$35,INT((ROW()-4)/2)+1)="","",IF(MOD(ROW()-4,2)=0,INDEX(Positions!$H$6:$H$35,INT((ROW()-4)/2)+1),""))</f>
        <v/>
      </c>
      <c r="I7" s="21">
        <f>IF(INDEX(Positions!$B$6:$B$35,INT((ROW()-4)/2)+1)="","",IF(MOD(ROW()-4,2)=0,INDEX(Positions!$A$6:$A$35,INT((ROW()-4)/2)+1),INDEX(Positions!$I$6:$I$35,INT((ROW()-4)/2)+1)))</f>
        <v/>
      </c>
      <c r="J7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7" s="22">
        <f>IF(INDEX(Positions!$B$6:$B$35,INT((ROW()-4)/2)+1)="","",IF(MOD(ROW()-4,2)=0,INDEX(Positions!$V$6:$V$35,INT((ROW()-4)/2)+1),INDEX(Positions!$W$6:$W$35,INT((ROW()-4)/2)+1)))</f>
        <v/>
      </c>
    </row>
    <row r="8">
      <c r="A8" s="21">
        <f>IF(INDEX(Positions!$B$6:$B$35,INT((ROW()-4)/2)+1)="","",IF(MOD(ROW()-4,2)=0,INDEX(Positions!$A$6:$A$35,INT((ROW()-4)/2)+1),INDEX(Positions!$I$6:$I$35,INT((ROW()-4)/2)+1)))</f>
        <v/>
      </c>
      <c r="B8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8" s="22">
        <f>IF(INDEX(Positions!$B$6:$B$35,INT((ROW()-4)/2)+1)="","",INDEX(Positions!$C$6:$C$35,INT((ROW()-4)/2)+1))</f>
        <v/>
      </c>
      <c r="D8" s="22">
        <f>IF(INDEX(Positions!$B$6:$B$35,INT((ROW()-4)/2)+1)="","",IF(MOD(ROW()-4,2)=0,INDEX(Positions!$D$6:$D$35,INT((ROW()-4)/2)+1),IF(INDEX(Positions!$D$6:$D$35,INT((ROW()-4)/2)+1)="buy","sell","buy")))</f>
        <v/>
      </c>
      <c r="E8" s="22">
        <f>IF(INDEX(Positions!$B$6:$B$35,INT((ROW()-4)/2)+1)="","",TEXT(INDEX(Positions!$E$6:$E$35,INT((ROW()-4)/2)+1),"0.00")&amp;" / "&amp;TEXT(INDEX(Positions!$E$6:$E$35,INT((ROW()-4)/2)+1),"0.00"))</f>
        <v/>
      </c>
      <c r="F8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8" s="22">
        <f>IF(INDEX(Positions!$B$6:$B$35,INT((ROW()-4)/2)+1)="","",IF(MOD(ROW()-4,2)=0,INDEX(Positions!$G$6:$G$35,INT((ROW()-4)/2)+1),""))</f>
        <v/>
      </c>
      <c r="H8" s="22">
        <f>IF(INDEX(Positions!$B$6:$B$35,INT((ROW()-4)/2)+1)="","",IF(MOD(ROW()-4,2)=0,INDEX(Positions!$H$6:$H$35,INT((ROW()-4)/2)+1),""))</f>
        <v/>
      </c>
      <c r="I8" s="21">
        <f>IF(INDEX(Positions!$B$6:$B$35,INT((ROW()-4)/2)+1)="","",IF(MOD(ROW()-4,2)=0,INDEX(Positions!$A$6:$A$35,INT((ROW()-4)/2)+1),INDEX(Positions!$I$6:$I$35,INT((ROW()-4)/2)+1)))</f>
        <v/>
      </c>
      <c r="J8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8" s="22">
        <f>IF(INDEX(Positions!$B$6:$B$35,INT((ROW()-4)/2)+1)="","",IF(MOD(ROW()-4,2)=0,INDEX(Positions!$V$6:$V$35,INT((ROW()-4)/2)+1),INDEX(Positions!$W$6:$W$35,INT((ROW()-4)/2)+1)))</f>
        <v/>
      </c>
    </row>
    <row r="9">
      <c r="A9" s="21">
        <f>IF(INDEX(Positions!$B$6:$B$35,INT((ROW()-4)/2)+1)="","",IF(MOD(ROW()-4,2)=0,INDEX(Positions!$A$6:$A$35,INT((ROW()-4)/2)+1),INDEX(Positions!$I$6:$I$35,INT((ROW()-4)/2)+1)))</f>
        <v/>
      </c>
      <c r="B9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9" s="22">
        <f>IF(INDEX(Positions!$B$6:$B$35,INT((ROW()-4)/2)+1)="","",INDEX(Positions!$C$6:$C$35,INT((ROW()-4)/2)+1))</f>
        <v/>
      </c>
      <c r="D9" s="22">
        <f>IF(INDEX(Positions!$B$6:$B$35,INT((ROW()-4)/2)+1)="","",IF(MOD(ROW()-4,2)=0,INDEX(Positions!$D$6:$D$35,INT((ROW()-4)/2)+1),IF(INDEX(Positions!$D$6:$D$35,INT((ROW()-4)/2)+1)="buy","sell","buy")))</f>
        <v/>
      </c>
      <c r="E9" s="22">
        <f>IF(INDEX(Positions!$B$6:$B$35,INT((ROW()-4)/2)+1)="","",TEXT(INDEX(Positions!$E$6:$E$35,INT((ROW()-4)/2)+1),"0.00")&amp;" / "&amp;TEXT(INDEX(Positions!$E$6:$E$35,INT((ROW()-4)/2)+1),"0.00"))</f>
        <v/>
      </c>
      <c r="F9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9" s="22">
        <f>IF(INDEX(Positions!$B$6:$B$35,INT((ROW()-4)/2)+1)="","",IF(MOD(ROW()-4,2)=0,INDEX(Positions!$G$6:$G$35,INT((ROW()-4)/2)+1),""))</f>
        <v/>
      </c>
      <c r="H9" s="22">
        <f>IF(INDEX(Positions!$B$6:$B$35,INT((ROW()-4)/2)+1)="","",IF(MOD(ROW()-4,2)=0,INDEX(Positions!$H$6:$H$35,INT((ROW()-4)/2)+1),""))</f>
        <v/>
      </c>
      <c r="I9" s="21">
        <f>IF(INDEX(Positions!$B$6:$B$35,INT((ROW()-4)/2)+1)="","",IF(MOD(ROW()-4,2)=0,INDEX(Positions!$A$6:$A$35,INT((ROW()-4)/2)+1),INDEX(Positions!$I$6:$I$35,INT((ROW()-4)/2)+1)))</f>
        <v/>
      </c>
      <c r="J9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9" s="22">
        <f>IF(INDEX(Positions!$B$6:$B$35,INT((ROW()-4)/2)+1)="","",IF(MOD(ROW()-4,2)=0,INDEX(Positions!$V$6:$V$35,INT((ROW()-4)/2)+1),INDEX(Positions!$W$6:$W$35,INT((ROW()-4)/2)+1)))</f>
        <v/>
      </c>
    </row>
    <row r="10">
      <c r="A10" s="21">
        <f>IF(INDEX(Positions!$B$6:$B$35,INT((ROW()-4)/2)+1)="","",IF(MOD(ROW()-4,2)=0,INDEX(Positions!$A$6:$A$35,INT((ROW()-4)/2)+1),INDEX(Positions!$I$6:$I$35,INT((ROW()-4)/2)+1)))</f>
        <v/>
      </c>
      <c r="B10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0" s="22">
        <f>IF(INDEX(Positions!$B$6:$B$35,INT((ROW()-4)/2)+1)="","",INDEX(Positions!$C$6:$C$35,INT((ROW()-4)/2)+1))</f>
        <v/>
      </c>
      <c r="D10" s="22">
        <f>IF(INDEX(Positions!$B$6:$B$35,INT((ROW()-4)/2)+1)="","",IF(MOD(ROW()-4,2)=0,INDEX(Positions!$D$6:$D$35,INT((ROW()-4)/2)+1),IF(INDEX(Positions!$D$6:$D$35,INT((ROW()-4)/2)+1)="buy","sell","buy")))</f>
        <v/>
      </c>
      <c r="E10" s="22">
        <f>IF(INDEX(Positions!$B$6:$B$35,INT((ROW()-4)/2)+1)="","",TEXT(INDEX(Positions!$E$6:$E$35,INT((ROW()-4)/2)+1),"0.00")&amp;" / "&amp;TEXT(INDEX(Positions!$E$6:$E$35,INT((ROW()-4)/2)+1),"0.00"))</f>
        <v/>
      </c>
      <c r="F10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0" s="22">
        <f>IF(INDEX(Positions!$B$6:$B$35,INT((ROW()-4)/2)+1)="","",IF(MOD(ROW()-4,2)=0,INDEX(Positions!$G$6:$G$35,INT((ROW()-4)/2)+1),""))</f>
        <v/>
      </c>
      <c r="H10" s="22">
        <f>IF(INDEX(Positions!$B$6:$B$35,INT((ROW()-4)/2)+1)="","",IF(MOD(ROW()-4,2)=0,INDEX(Positions!$H$6:$H$35,INT((ROW()-4)/2)+1),""))</f>
        <v/>
      </c>
      <c r="I10" s="21">
        <f>IF(INDEX(Positions!$B$6:$B$35,INT((ROW()-4)/2)+1)="","",IF(MOD(ROW()-4,2)=0,INDEX(Positions!$A$6:$A$35,INT((ROW()-4)/2)+1),INDEX(Positions!$I$6:$I$35,INT((ROW()-4)/2)+1)))</f>
        <v/>
      </c>
      <c r="J10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0" s="22">
        <f>IF(INDEX(Positions!$B$6:$B$35,INT((ROW()-4)/2)+1)="","",IF(MOD(ROW()-4,2)=0,INDEX(Positions!$V$6:$V$35,INT((ROW()-4)/2)+1),INDEX(Positions!$W$6:$W$35,INT((ROW()-4)/2)+1)))</f>
        <v/>
      </c>
    </row>
    <row r="11">
      <c r="A11" s="21">
        <f>IF(INDEX(Positions!$B$6:$B$35,INT((ROW()-4)/2)+1)="","",IF(MOD(ROW()-4,2)=0,INDEX(Positions!$A$6:$A$35,INT((ROW()-4)/2)+1),INDEX(Positions!$I$6:$I$35,INT((ROW()-4)/2)+1)))</f>
        <v/>
      </c>
      <c r="B11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1" s="22">
        <f>IF(INDEX(Positions!$B$6:$B$35,INT((ROW()-4)/2)+1)="","",INDEX(Positions!$C$6:$C$35,INT((ROW()-4)/2)+1))</f>
        <v/>
      </c>
      <c r="D11" s="22">
        <f>IF(INDEX(Positions!$B$6:$B$35,INT((ROW()-4)/2)+1)="","",IF(MOD(ROW()-4,2)=0,INDEX(Positions!$D$6:$D$35,INT((ROW()-4)/2)+1),IF(INDEX(Positions!$D$6:$D$35,INT((ROW()-4)/2)+1)="buy","sell","buy")))</f>
        <v/>
      </c>
      <c r="E11" s="22">
        <f>IF(INDEX(Positions!$B$6:$B$35,INT((ROW()-4)/2)+1)="","",TEXT(INDEX(Positions!$E$6:$E$35,INT((ROW()-4)/2)+1),"0.00")&amp;" / "&amp;TEXT(INDEX(Positions!$E$6:$E$35,INT((ROW()-4)/2)+1),"0.00"))</f>
        <v/>
      </c>
      <c r="F11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1" s="22">
        <f>IF(INDEX(Positions!$B$6:$B$35,INT((ROW()-4)/2)+1)="","",IF(MOD(ROW()-4,2)=0,INDEX(Positions!$G$6:$G$35,INT((ROW()-4)/2)+1),""))</f>
        <v/>
      </c>
      <c r="H11" s="22">
        <f>IF(INDEX(Positions!$B$6:$B$35,INT((ROW()-4)/2)+1)="","",IF(MOD(ROW()-4,2)=0,INDEX(Positions!$H$6:$H$35,INT((ROW()-4)/2)+1),""))</f>
        <v/>
      </c>
      <c r="I11" s="21">
        <f>IF(INDEX(Positions!$B$6:$B$35,INT((ROW()-4)/2)+1)="","",IF(MOD(ROW()-4,2)=0,INDEX(Positions!$A$6:$A$35,INT((ROW()-4)/2)+1),INDEX(Positions!$I$6:$I$35,INT((ROW()-4)/2)+1)))</f>
        <v/>
      </c>
      <c r="J11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1" s="22">
        <f>IF(INDEX(Positions!$B$6:$B$35,INT((ROW()-4)/2)+1)="","",IF(MOD(ROW()-4,2)=0,INDEX(Positions!$V$6:$V$35,INT((ROW()-4)/2)+1),INDEX(Positions!$W$6:$W$35,INT((ROW()-4)/2)+1)))</f>
        <v/>
      </c>
    </row>
    <row r="12">
      <c r="A12" s="21">
        <f>IF(INDEX(Positions!$B$6:$B$35,INT((ROW()-4)/2)+1)="","",IF(MOD(ROW()-4,2)=0,INDEX(Positions!$A$6:$A$35,INT((ROW()-4)/2)+1),INDEX(Positions!$I$6:$I$35,INT((ROW()-4)/2)+1)))</f>
        <v/>
      </c>
      <c r="B12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2" s="22">
        <f>IF(INDEX(Positions!$B$6:$B$35,INT((ROW()-4)/2)+1)="","",INDEX(Positions!$C$6:$C$35,INT((ROW()-4)/2)+1))</f>
        <v/>
      </c>
      <c r="D12" s="22">
        <f>IF(INDEX(Positions!$B$6:$B$35,INT((ROW()-4)/2)+1)="","",IF(MOD(ROW()-4,2)=0,INDEX(Positions!$D$6:$D$35,INT((ROW()-4)/2)+1),IF(INDEX(Positions!$D$6:$D$35,INT((ROW()-4)/2)+1)="buy","sell","buy")))</f>
        <v/>
      </c>
      <c r="E12" s="22">
        <f>IF(INDEX(Positions!$B$6:$B$35,INT((ROW()-4)/2)+1)="","",TEXT(INDEX(Positions!$E$6:$E$35,INT((ROW()-4)/2)+1),"0.00")&amp;" / "&amp;TEXT(INDEX(Positions!$E$6:$E$35,INT((ROW()-4)/2)+1),"0.00"))</f>
        <v/>
      </c>
      <c r="F12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2" s="22">
        <f>IF(INDEX(Positions!$B$6:$B$35,INT((ROW()-4)/2)+1)="","",IF(MOD(ROW()-4,2)=0,INDEX(Positions!$G$6:$G$35,INT((ROW()-4)/2)+1),""))</f>
        <v/>
      </c>
      <c r="H12" s="22">
        <f>IF(INDEX(Positions!$B$6:$B$35,INT((ROW()-4)/2)+1)="","",IF(MOD(ROW()-4,2)=0,INDEX(Positions!$H$6:$H$35,INT((ROW()-4)/2)+1),""))</f>
        <v/>
      </c>
      <c r="I12" s="21">
        <f>IF(INDEX(Positions!$B$6:$B$35,INT((ROW()-4)/2)+1)="","",IF(MOD(ROW()-4,2)=0,INDEX(Positions!$A$6:$A$35,INT((ROW()-4)/2)+1),INDEX(Positions!$I$6:$I$35,INT((ROW()-4)/2)+1)))</f>
        <v/>
      </c>
      <c r="J12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2" s="22">
        <f>IF(INDEX(Positions!$B$6:$B$35,INT((ROW()-4)/2)+1)="","",IF(MOD(ROW()-4,2)=0,INDEX(Positions!$V$6:$V$35,INT((ROW()-4)/2)+1),INDEX(Positions!$W$6:$W$35,INT((ROW()-4)/2)+1)))</f>
        <v/>
      </c>
    </row>
    <row r="13">
      <c r="A13" s="21">
        <f>IF(INDEX(Positions!$B$6:$B$35,INT((ROW()-4)/2)+1)="","",IF(MOD(ROW()-4,2)=0,INDEX(Positions!$A$6:$A$35,INT((ROW()-4)/2)+1),INDEX(Positions!$I$6:$I$35,INT((ROW()-4)/2)+1)))</f>
        <v/>
      </c>
      <c r="B13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3" s="22">
        <f>IF(INDEX(Positions!$B$6:$B$35,INT((ROW()-4)/2)+1)="","",INDEX(Positions!$C$6:$C$35,INT((ROW()-4)/2)+1))</f>
        <v/>
      </c>
      <c r="D13" s="22">
        <f>IF(INDEX(Positions!$B$6:$B$35,INT((ROW()-4)/2)+1)="","",IF(MOD(ROW()-4,2)=0,INDEX(Positions!$D$6:$D$35,INT((ROW()-4)/2)+1),IF(INDEX(Positions!$D$6:$D$35,INT((ROW()-4)/2)+1)="buy","sell","buy")))</f>
        <v/>
      </c>
      <c r="E13" s="22">
        <f>IF(INDEX(Positions!$B$6:$B$35,INT((ROW()-4)/2)+1)="","",TEXT(INDEX(Positions!$E$6:$E$35,INT((ROW()-4)/2)+1),"0.00")&amp;" / "&amp;TEXT(INDEX(Positions!$E$6:$E$35,INT((ROW()-4)/2)+1),"0.00"))</f>
        <v/>
      </c>
      <c r="F13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3" s="22">
        <f>IF(INDEX(Positions!$B$6:$B$35,INT((ROW()-4)/2)+1)="","",IF(MOD(ROW()-4,2)=0,INDEX(Positions!$G$6:$G$35,INT((ROW()-4)/2)+1),""))</f>
        <v/>
      </c>
      <c r="H13" s="22">
        <f>IF(INDEX(Positions!$B$6:$B$35,INT((ROW()-4)/2)+1)="","",IF(MOD(ROW()-4,2)=0,INDEX(Positions!$H$6:$H$35,INT((ROW()-4)/2)+1),""))</f>
        <v/>
      </c>
      <c r="I13" s="21">
        <f>IF(INDEX(Positions!$B$6:$B$35,INT((ROW()-4)/2)+1)="","",IF(MOD(ROW()-4,2)=0,INDEX(Positions!$A$6:$A$35,INT((ROW()-4)/2)+1),INDEX(Positions!$I$6:$I$35,INT((ROW()-4)/2)+1)))</f>
        <v/>
      </c>
      <c r="J13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3" s="22">
        <f>IF(INDEX(Positions!$B$6:$B$35,INT((ROW()-4)/2)+1)="","",IF(MOD(ROW()-4,2)=0,INDEX(Positions!$V$6:$V$35,INT((ROW()-4)/2)+1),INDEX(Positions!$W$6:$W$35,INT((ROW()-4)/2)+1)))</f>
        <v/>
      </c>
    </row>
    <row r="14">
      <c r="A14" s="21">
        <f>IF(INDEX(Positions!$B$6:$B$35,INT((ROW()-4)/2)+1)="","",IF(MOD(ROW()-4,2)=0,INDEX(Positions!$A$6:$A$35,INT((ROW()-4)/2)+1),INDEX(Positions!$I$6:$I$35,INT((ROW()-4)/2)+1)))</f>
        <v/>
      </c>
      <c r="B14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4" s="22">
        <f>IF(INDEX(Positions!$B$6:$B$35,INT((ROW()-4)/2)+1)="","",INDEX(Positions!$C$6:$C$35,INT((ROW()-4)/2)+1))</f>
        <v/>
      </c>
      <c r="D14" s="22">
        <f>IF(INDEX(Positions!$B$6:$B$35,INT((ROW()-4)/2)+1)="","",IF(MOD(ROW()-4,2)=0,INDEX(Positions!$D$6:$D$35,INT((ROW()-4)/2)+1),IF(INDEX(Positions!$D$6:$D$35,INT((ROW()-4)/2)+1)="buy","sell","buy")))</f>
        <v/>
      </c>
      <c r="E14" s="22">
        <f>IF(INDEX(Positions!$B$6:$B$35,INT((ROW()-4)/2)+1)="","",TEXT(INDEX(Positions!$E$6:$E$35,INT((ROW()-4)/2)+1),"0.00")&amp;" / "&amp;TEXT(INDEX(Positions!$E$6:$E$35,INT((ROW()-4)/2)+1),"0.00"))</f>
        <v/>
      </c>
      <c r="F14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4" s="22">
        <f>IF(INDEX(Positions!$B$6:$B$35,INT((ROW()-4)/2)+1)="","",IF(MOD(ROW()-4,2)=0,INDEX(Positions!$G$6:$G$35,INT((ROW()-4)/2)+1),""))</f>
        <v/>
      </c>
      <c r="H14" s="22">
        <f>IF(INDEX(Positions!$B$6:$B$35,INT((ROW()-4)/2)+1)="","",IF(MOD(ROW()-4,2)=0,INDEX(Positions!$H$6:$H$35,INT((ROW()-4)/2)+1),""))</f>
        <v/>
      </c>
      <c r="I14" s="21">
        <f>IF(INDEX(Positions!$B$6:$B$35,INT((ROW()-4)/2)+1)="","",IF(MOD(ROW()-4,2)=0,INDEX(Positions!$A$6:$A$35,INT((ROW()-4)/2)+1),INDEX(Positions!$I$6:$I$35,INT((ROW()-4)/2)+1)))</f>
        <v/>
      </c>
      <c r="J14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4" s="22">
        <f>IF(INDEX(Positions!$B$6:$B$35,INT((ROW()-4)/2)+1)="","",IF(MOD(ROW()-4,2)=0,INDEX(Positions!$V$6:$V$35,INT((ROW()-4)/2)+1),INDEX(Positions!$W$6:$W$35,INT((ROW()-4)/2)+1)))</f>
        <v/>
      </c>
    </row>
    <row r="15">
      <c r="A15" s="21">
        <f>IF(INDEX(Positions!$B$6:$B$35,INT((ROW()-4)/2)+1)="","",IF(MOD(ROW()-4,2)=0,INDEX(Positions!$A$6:$A$35,INT((ROW()-4)/2)+1),INDEX(Positions!$I$6:$I$35,INT((ROW()-4)/2)+1)))</f>
        <v/>
      </c>
      <c r="B15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5" s="22">
        <f>IF(INDEX(Positions!$B$6:$B$35,INT((ROW()-4)/2)+1)="","",INDEX(Positions!$C$6:$C$35,INT((ROW()-4)/2)+1))</f>
        <v/>
      </c>
      <c r="D15" s="22">
        <f>IF(INDEX(Positions!$B$6:$B$35,INT((ROW()-4)/2)+1)="","",IF(MOD(ROW()-4,2)=0,INDEX(Positions!$D$6:$D$35,INT((ROW()-4)/2)+1),IF(INDEX(Positions!$D$6:$D$35,INT((ROW()-4)/2)+1)="buy","sell","buy")))</f>
        <v/>
      </c>
      <c r="E15" s="22">
        <f>IF(INDEX(Positions!$B$6:$B$35,INT((ROW()-4)/2)+1)="","",TEXT(INDEX(Positions!$E$6:$E$35,INT((ROW()-4)/2)+1),"0.00")&amp;" / "&amp;TEXT(INDEX(Positions!$E$6:$E$35,INT((ROW()-4)/2)+1),"0.00"))</f>
        <v/>
      </c>
      <c r="F15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5" s="22">
        <f>IF(INDEX(Positions!$B$6:$B$35,INT((ROW()-4)/2)+1)="","",IF(MOD(ROW()-4,2)=0,INDEX(Positions!$G$6:$G$35,INT((ROW()-4)/2)+1),""))</f>
        <v/>
      </c>
      <c r="H15" s="22">
        <f>IF(INDEX(Positions!$B$6:$B$35,INT((ROW()-4)/2)+1)="","",IF(MOD(ROW()-4,2)=0,INDEX(Positions!$H$6:$H$35,INT((ROW()-4)/2)+1),""))</f>
        <v/>
      </c>
      <c r="I15" s="21">
        <f>IF(INDEX(Positions!$B$6:$B$35,INT((ROW()-4)/2)+1)="","",IF(MOD(ROW()-4,2)=0,INDEX(Positions!$A$6:$A$35,INT((ROW()-4)/2)+1),INDEX(Positions!$I$6:$I$35,INT((ROW()-4)/2)+1)))</f>
        <v/>
      </c>
      <c r="J15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5" s="22">
        <f>IF(INDEX(Positions!$B$6:$B$35,INT((ROW()-4)/2)+1)="","",IF(MOD(ROW()-4,2)=0,INDEX(Positions!$V$6:$V$35,INT((ROW()-4)/2)+1),INDEX(Positions!$W$6:$W$35,INT((ROW()-4)/2)+1)))</f>
        <v/>
      </c>
    </row>
    <row r="16">
      <c r="A16" s="21">
        <f>IF(INDEX(Positions!$B$6:$B$35,INT((ROW()-4)/2)+1)="","",IF(MOD(ROW()-4,2)=0,INDEX(Positions!$A$6:$A$35,INT((ROW()-4)/2)+1),INDEX(Positions!$I$6:$I$35,INT((ROW()-4)/2)+1)))</f>
        <v/>
      </c>
      <c r="B16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6" s="22">
        <f>IF(INDEX(Positions!$B$6:$B$35,INT((ROW()-4)/2)+1)="","",INDEX(Positions!$C$6:$C$35,INT((ROW()-4)/2)+1))</f>
        <v/>
      </c>
      <c r="D16" s="22">
        <f>IF(INDEX(Positions!$B$6:$B$35,INT((ROW()-4)/2)+1)="","",IF(MOD(ROW()-4,2)=0,INDEX(Positions!$D$6:$D$35,INT((ROW()-4)/2)+1),IF(INDEX(Positions!$D$6:$D$35,INT((ROW()-4)/2)+1)="buy","sell","buy")))</f>
        <v/>
      </c>
      <c r="E16" s="22">
        <f>IF(INDEX(Positions!$B$6:$B$35,INT((ROW()-4)/2)+1)="","",TEXT(INDEX(Positions!$E$6:$E$35,INT((ROW()-4)/2)+1),"0.00")&amp;" / "&amp;TEXT(INDEX(Positions!$E$6:$E$35,INT((ROW()-4)/2)+1),"0.00"))</f>
        <v/>
      </c>
      <c r="F16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6" s="22">
        <f>IF(INDEX(Positions!$B$6:$B$35,INT((ROW()-4)/2)+1)="","",IF(MOD(ROW()-4,2)=0,INDEX(Positions!$G$6:$G$35,INT((ROW()-4)/2)+1),""))</f>
        <v/>
      </c>
      <c r="H16" s="22">
        <f>IF(INDEX(Positions!$B$6:$B$35,INT((ROW()-4)/2)+1)="","",IF(MOD(ROW()-4,2)=0,INDEX(Positions!$H$6:$H$35,INT((ROW()-4)/2)+1),""))</f>
        <v/>
      </c>
      <c r="I16" s="21">
        <f>IF(INDEX(Positions!$B$6:$B$35,INT((ROW()-4)/2)+1)="","",IF(MOD(ROW()-4,2)=0,INDEX(Positions!$A$6:$A$35,INT((ROW()-4)/2)+1),INDEX(Positions!$I$6:$I$35,INT((ROW()-4)/2)+1)))</f>
        <v/>
      </c>
      <c r="J16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6" s="22">
        <f>IF(INDEX(Positions!$B$6:$B$35,INT((ROW()-4)/2)+1)="","",IF(MOD(ROW()-4,2)=0,INDEX(Positions!$V$6:$V$35,INT((ROW()-4)/2)+1),INDEX(Positions!$W$6:$W$35,INT((ROW()-4)/2)+1)))</f>
        <v/>
      </c>
    </row>
    <row r="17">
      <c r="A17" s="21">
        <f>IF(INDEX(Positions!$B$6:$B$35,INT((ROW()-4)/2)+1)="","",IF(MOD(ROW()-4,2)=0,INDEX(Positions!$A$6:$A$35,INT((ROW()-4)/2)+1),INDEX(Positions!$I$6:$I$35,INT((ROW()-4)/2)+1)))</f>
        <v/>
      </c>
      <c r="B17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7" s="22">
        <f>IF(INDEX(Positions!$B$6:$B$35,INT((ROW()-4)/2)+1)="","",INDEX(Positions!$C$6:$C$35,INT((ROW()-4)/2)+1))</f>
        <v/>
      </c>
      <c r="D17" s="22">
        <f>IF(INDEX(Positions!$B$6:$B$35,INT((ROW()-4)/2)+1)="","",IF(MOD(ROW()-4,2)=0,INDEX(Positions!$D$6:$D$35,INT((ROW()-4)/2)+1),IF(INDEX(Positions!$D$6:$D$35,INT((ROW()-4)/2)+1)="buy","sell","buy")))</f>
        <v/>
      </c>
      <c r="E17" s="22">
        <f>IF(INDEX(Positions!$B$6:$B$35,INT((ROW()-4)/2)+1)="","",TEXT(INDEX(Positions!$E$6:$E$35,INT((ROW()-4)/2)+1),"0.00")&amp;" / "&amp;TEXT(INDEX(Positions!$E$6:$E$35,INT((ROW()-4)/2)+1),"0.00"))</f>
        <v/>
      </c>
      <c r="F17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7" s="22">
        <f>IF(INDEX(Positions!$B$6:$B$35,INT((ROW()-4)/2)+1)="","",IF(MOD(ROW()-4,2)=0,INDEX(Positions!$G$6:$G$35,INT((ROW()-4)/2)+1),""))</f>
        <v/>
      </c>
      <c r="H17" s="22">
        <f>IF(INDEX(Positions!$B$6:$B$35,INT((ROW()-4)/2)+1)="","",IF(MOD(ROW()-4,2)=0,INDEX(Positions!$H$6:$H$35,INT((ROW()-4)/2)+1),""))</f>
        <v/>
      </c>
      <c r="I17" s="21">
        <f>IF(INDEX(Positions!$B$6:$B$35,INT((ROW()-4)/2)+1)="","",IF(MOD(ROW()-4,2)=0,INDEX(Positions!$A$6:$A$35,INT((ROW()-4)/2)+1),INDEX(Positions!$I$6:$I$35,INT((ROW()-4)/2)+1)))</f>
        <v/>
      </c>
      <c r="J17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7" s="22">
        <f>IF(INDEX(Positions!$B$6:$B$35,INT((ROW()-4)/2)+1)="","",IF(MOD(ROW()-4,2)=0,INDEX(Positions!$V$6:$V$35,INT((ROW()-4)/2)+1),INDEX(Positions!$W$6:$W$35,INT((ROW()-4)/2)+1)))</f>
        <v/>
      </c>
    </row>
    <row r="18">
      <c r="A18" s="21">
        <f>IF(INDEX(Positions!$B$6:$B$35,INT((ROW()-4)/2)+1)="","",IF(MOD(ROW()-4,2)=0,INDEX(Positions!$A$6:$A$35,INT((ROW()-4)/2)+1),INDEX(Positions!$I$6:$I$35,INT((ROW()-4)/2)+1)))</f>
        <v/>
      </c>
      <c r="B18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8" s="22">
        <f>IF(INDEX(Positions!$B$6:$B$35,INT((ROW()-4)/2)+1)="","",INDEX(Positions!$C$6:$C$35,INT((ROW()-4)/2)+1))</f>
        <v/>
      </c>
      <c r="D18" s="22">
        <f>IF(INDEX(Positions!$B$6:$B$35,INT((ROW()-4)/2)+1)="","",IF(MOD(ROW()-4,2)=0,INDEX(Positions!$D$6:$D$35,INT((ROW()-4)/2)+1),IF(INDEX(Positions!$D$6:$D$35,INT((ROW()-4)/2)+1)="buy","sell","buy")))</f>
        <v/>
      </c>
      <c r="E18" s="22">
        <f>IF(INDEX(Positions!$B$6:$B$35,INT((ROW()-4)/2)+1)="","",TEXT(INDEX(Positions!$E$6:$E$35,INT((ROW()-4)/2)+1),"0.00")&amp;" / "&amp;TEXT(INDEX(Positions!$E$6:$E$35,INT((ROW()-4)/2)+1),"0.00"))</f>
        <v/>
      </c>
      <c r="F18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8" s="22">
        <f>IF(INDEX(Positions!$B$6:$B$35,INT((ROW()-4)/2)+1)="","",IF(MOD(ROW()-4,2)=0,INDEX(Positions!$G$6:$G$35,INT((ROW()-4)/2)+1),""))</f>
        <v/>
      </c>
      <c r="H18" s="22">
        <f>IF(INDEX(Positions!$B$6:$B$35,INT((ROW()-4)/2)+1)="","",IF(MOD(ROW()-4,2)=0,INDEX(Positions!$H$6:$H$35,INT((ROW()-4)/2)+1),""))</f>
        <v/>
      </c>
      <c r="I18" s="21">
        <f>IF(INDEX(Positions!$B$6:$B$35,INT((ROW()-4)/2)+1)="","",IF(MOD(ROW()-4,2)=0,INDEX(Positions!$A$6:$A$35,INT((ROW()-4)/2)+1),INDEX(Positions!$I$6:$I$35,INT((ROW()-4)/2)+1)))</f>
        <v/>
      </c>
      <c r="J18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8" s="22">
        <f>IF(INDEX(Positions!$B$6:$B$35,INT((ROW()-4)/2)+1)="","",IF(MOD(ROW()-4,2)=0,INDEX(Positions!$V$6:$V$35,INT((ROW()-4)/2)+1),INDEX(Positions!$W$6:$W$35,INT((ROW()-4)/2)+1)))</f>
        <v/>
      </c>
    </row>
    <row r="19">
      <c r="A19" s="21">
        <f>IF(INDEX(Positions!$B$6:$B$35,INT((ROW()-4)/2)+1)="","",IF(MOD(ROW()-4,2)=0,INDEX(Positions!$A$6:$A$35,INT((ROW()-4)/2)+1),INDEX(Positions!$I$6:$I$35,INT((ROW()-4)/2)+1)))</f>
        <v/>
      </c>
      <c r="B19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19" s="22">
        <f>IF(INDEX(Positions!$B$6:$B$35,INT((ROW()-4)/2)+1)="","",INDEX(Positions!$C$6:$C$35,INT((ROW()-4)/2)+1))</f>
        <v/>
      </c>
      <c r="D19" s="22">
        <f>IF(INDEX(Positions!$B$6:$B$35,INT((ROW()-4)/2)+1)="","",IF(MOD(ROW()-4,2)=0,INDEX(Positions!$D$6:$D$35,INT((ROW()-4)/2)+1),IF(INDEX(Positions!$D$6:$D$35,INT((ROW()-4)/2)+1)="buy","sell","buy")))</f>
        <v/>
      </c>
      <c r="E19" s="22">
        <f>IF(INDEX(Positions!$B$6:$B$35,INT((ROW()-4)/2)+1)="","",TEXT(INDEX(Positions!$E$6:$E$35,INT((ROW()-4)/2)+1),"0.00")&amp;" / "&amp;TEXT(INDEX(Positions!$E$6:$E$35,INT((ROW()-4)/2)+1),"0.00"))</f>
        <v/>
      </c>
      <c r="F19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19" s="22">
        <f>IF(INDEX(Positions!$B$6:$B$35,INT((ROW()-4)/2)+1)="","",IF(MOD(ROW()-4,2)=0,INDEX(Positions!$G$6:$G$35,INT((ROW()-4)/2)+1),""))</f>
        <v/>
      </c>
      <c r="H19" s="22">
        <f>IF(INDEX(Positions!$B$6:$B$35,INT((ROW()-4)/2)+1)="","",IF(MOD(ROW()-4,2)=0,INDEX(Positions!$H$6:$H$35,INT((ROW()-4)/2)+1),""))</f>
        <v/>
      </c>
      <c r="I19" s="21">
        <f>IF(INDEX(Positions!$B$6:$B$35,INT((ROW()-4)/2)+1)="","",IF(MOD(ROW()-4,2)=0,INDEX(Positions!$A$6:$A$35,INT((ROW()-4)/2)+1),INDEX(Positions!$I$6:$I$35,INT((ROW()-4)/2)+1)))</f>
        <v/>
      </c>
      <c r="J19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19" s="22">
        <f>IF(INDEX(Positions!$B$6:$B$35,INT((ROW()-4)/2)+1)="","",IF(MOD(ROW()-4,2)=0,INDEX(Positions!$V$6:$V$35,INT((ROW()-4)/2)+1),INDEX(Positions!$W$6:$W$35,INT((ROW()-4)/2)+1)))</f>
        <v/>
      </c>
    </row>
    <row r="20">
      <c r="A20" s="21">
        <f>IF(INDEX(Positions!$B$6:$B$35,INT((ROW()-4)/2)+1)="","",IF(MOD(ROW()-4,2)=0,INDEX(Positions!$A$6:$A$35,INT((ROW()-4)/2)+1),INDEX(Positions!$I$6:$I$35,INT((ROW()-4)/2)+1)))</f>
        <v/>
      </c>
      <c r="B20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0" s="22">
        <f>IF(INDEX(Positions!$B$6:$B$35,INT((ROW()-4)/2)+1)="","",INDEX(Positions!$C$6:$C$35,INT((ROW()-4)/2)+1))</f>
        <v/>
      </c>
      <c r="D20" s="22">
        <f>IF(INDEX(Positions!$B$6:$B$35,INT((ROW()-4)/2)+1)="","",IF(MOD(ROW()-4,2)=0,INDEX(Positions!$D$6:$D$35,INT((ROW()-4)/2)+1),IF(INDEX(Positions!$D$6:$D$35,INT((ROW()-4)/2)+1)="buy","sell","buy")))</f>
        <v/>
      </c>
      <c r="E20" s="22">
        <f>IF(INDEX(Positions!$B$6:$B$35,INT((ROW()-4)/2)+1)="","",TEXT(INDEX(Positions!$E$6:$E$35,INT((ROW()-4)/2)+1),"0.00")&amp;" / "&amp;TEXT(INDEX(Positions!$E$6:$E$35,INT((ROW()-4)/2)+1),"0.00"))</f>
        <v/>
      </c>
      <c r="F20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0" s="22">
        <f>IF(INDEX(Positions!$B$6:$B$35,INT((ROW()-4)/2)+1)="","",IF(MOD(ROW()-4,2)=0,INDEX(Positions!$G$6:$G$35,INT((ROW()-4)/2)+1),""))</f>
        <v/>
      </c>
      <c r="H20" s="22">
        <f>IF(INDEX(Positions!$B$6:$B$35,INT((ROW()-4)/2)+1)="","",IF(MOD(ROW()-4,2)=0,INDEX(Positions!$H$6:$H$35,INT((ROW()-4)/2)+1),""))</f>
        <v/>
      </c>
      <c r="I20" s="21">
        <f>IF(INDEX(Positions!$B$6:$B$35,INT((ROW()-4)/2)+1)="","",IF(MOD(ROW()-4,2)=0,INDEX(Positions!$A$6:$A$35,INT((ROW()-4)/2)+1),INDEX(Positions!$I$6:$I$35,INT((ROW()-4)/2)+1)))</f>
        <v/>
      </c>
      <c r="J20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0" s="22">
        <f>IF(INDEX(Positions!$B$6:$B$35,INT((ROW()-4)/2)+1)="","",IF(MOD(ROW()-4,2)=0,INDEX(Positions!$V$6:$V$35,INT((ROW()-4)/2)+1),INDEX(Positions!$W$6:$W$35,INT((ROW()-4)/2)+1)))</f>
        <v/>
      </c>
    </row>
    <row r="21">
      <c r="A21" s="21">
        <f>IF(INDEX(Positions!$B$6:$B$35,INT((ROW()-4)/2)+1)="","",IF(MOD(ROW()-4,2)=0,INDEX(Positions!$A$6:$A$35,INT((ROW()-4)/2)+1),INDEX(Positions!$I$6:$I$35,INT((ROW()-4)/2)+1)))</f>
        <v/>
      </c>
      <c r="B21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1" s="22">
        <f>IF(INDEX(Positions!$B$6:$B$35,INT((ROW()-4)/2)+1)="","",INDEX(Positions!$C$6:$C$35,INT((ROW()-4)/2)+1))</f>
        <v/>
      </c>
      <c r="D21" s="22">
        <f>IF(INDEX(Positions!$B$6:$B$35,INT((ROW()-4)/2)+1)="","",IF(MOD(ROW()-4,2)=0,INDEX(Positions!$D$6:$D$35,INT((ROW()-4)/2)+1),IF(INDEX(Positions!$D$6:$D$35,INT((ROW()-4)/2)+1)="buy","sell","buy")))</f>
        <v/>
      </c>
      <c r="E21" s="22">
        <f>IF(INDEX(Positions!$B$6:$B$35,INT((ROW()-4)/2)+1)="","",TEXT(INDEX(Positions!$E$6:$E$35,INT((ROW()-4)/2)+1),"0.00")&amp;" / "&amp;TEXT(INDEX(Positions!$E$6:$E$35,INT((ROW()-4)/2)+1),"0.00"))</f>
        <v/>
      </c>
      <c r="F21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1" s="22">
        <f>IF(INDEX(Positions!$B$6:$B$35,INT((ROW()-4)/2)+1)="","",IF(MOD(ROW()-4,2)=0,INDEX(Positions!$G$6:$G$35,INT((ROW()-4)/2)+1),""))</f>
        <v/>
      </c>
      <c r="H21" s="22">
        <f>IF(INDEX(Positions!$B$6:$B$35,INT((ROW()-4)/2)+1)="","",IF(MOD(ROW()-4,2)=0,INDEX(Positions!$H$6:$H$35,INT((ROW()-4)/2)+1),""))</f>
        <v/>
      </c>
      <c r="I21" s="21">
        <f>IF(INDEX(Positions!$B$6:$B$35,INT((ROW()-4)/2)+1)="","",IF(MOD(ROW()-4,2)=0,INDEX(Positions!$A$6:$A$35,INT((ROW()-4)/2)+1),INDEX(Positions!$I$6:$I$35,INT((ROW()-4)/2)+1)))</f>
        <v/>
      </c>
      <c r="J21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1" s="22">
        <f>IF(INDEX(Positions!$B$6:$B$35,INT((ROW()-4)/2)+1)="","",IF(MOD(ROW()-4,2)=0,INDEX(Positions!$V$6:$V$35,INT((ROW()-4)/2)+1),INDEX(Positions!$W$6:$W$35,INT((ROW()-4)/2)+1)))</f>
        <v/>
      </c>
    </row>
    <row r="22">
      <c r="A22" s="21">
        <f>IF(INDEX(Positions!$B$6:$B$35,INT((ROW()-4)/2)+1)="","",IF(MOD(ROW()-4,2)=0,INDEX(Positions!$A$6:$A$35,INT((ROW()-4)/2)+1),INDEX(Positions!$I$6:$I$35,INT((ROW()-4)/2)+1)))</f>
        <v/>
      </c>
      <c r="B22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2" s="22">
        <f>IF(INDEX(Positions!$B$6:$B$35,INT((ROW()-4)/2)+1)="","",INDEX(Positions!$C$6:$C$35,INT((ROW()-4)/2)+1))</f>
        <v/>
      </c>
      <c r="D22" s="22">
        <f>IF(INDEX(Positions!$B$6:$B$35,INT((ROW()-4)/2)+1)="","",IF(MOD(ROW()-4,2)=0,INDEX(Positions!$D$6:$D$35,INT((ROW()-4)/2)+1),IF(INDEX(Positions!$D$6:$D$35,INT((ROW()-4)/2)+1)="buy","sell","buy")))</f>
        <v/>
      </c>
      <c r="E22" s="22">
        <f>IF(INDEX(Positions!$B$6:$B$35,INT((ROW()-4)/2)+1)="","",TEXT(INDEX(Positions!$E$6:$E$35,INT((ROW()-4)/2)+1),"0.00")&amp;" / "&amp;TEXT(INDEX(Positions!$E$6:$E$35,INT((ROW()-4)/2)+1),"0.00"))</f>
        <v/>
      </c>
      <c r="F22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2" s="22">
        <f>IF(INDEX(Positions!$B$6:$B$35,INT((ROW()-4)/2)+1)="","",IF(MOD(ROW()-4,2)=0,INDEX(Positions!$G$6:$G$35,INT((ROW()-4)/2)+1),""))</f>
        <v/>
      </c>
      <c r="H22" s="22">
        <f>IF(INDEX(Positions!$B$6:$B$35,INT((ROW()-4)/2)+1)="","",IF(MOD(ROW()-4,2)=0,INDEX(Positions!$H$6:$H$35,INT((ROW()-4)/2)+1),""))</f>
        <v/>
      </c>
      <c r="I22" s="21">
        <f>IF(INDEX(Positions!$B$6:$B$35,INT((ROW()-4)/2)+1)="","",IF(MOD(ROW()-4,2)=0,INDEX(Positions!$A$6:$A$35,INT((ROW()-4)/2)+1),INDEX(Positions!$I$6:$I$35,INT((ROW()-4)/2)+1)))</f>
        <v/>
      </c>
      <c r="J22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2" s="22">
        <f>IF(INDEX(Positions!$B$6:$B$35,INT((ROW()-4)/2)+1)="","",IF(MOD(ROW()-4,2)=0,INDEX(Positions!$V$6:$V$35,INT((ROW()-4)/2)+1),INDEX(Positions!$W$6:$W$35,INT((ROW()-4)/2)+1)))</f>
        <v/>
      </c>
    </row>
    <row r="23">
      <c r="A23" s="21">
        <f>IF(INDEX(Positions!$B$6:$B$35,INT((ROW()-4)/2)+1)="","",IF(MOD(ROW()-4,2)=0,INDEX(Positions!$A$6:$A$35,INT((ROW()-4)/2)+1),INDEX(Positions!$I$6:$I$35,INT((ROW()-4)/2)+1)))</f>
        <v/>
      </c>
      <c r="B23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3" s="22">
        <f>IF(INDEX(Positions!$B$6:$B$35,INT((ROW()-4)/2)+1)="","",INDEX(Positions!$C$6:$C$35,INT((ROW()-4)/2)+1))</f>
        <v/>
      </c>
      <c r="D23" s="22">
        <f>IF(INDEX(Positions!$B$6:$B$35,INT((ROW()-4)/2)+1)="","",IF(MOD(ROW()-4,2)=0,INDEX(Positions!$D$6:$D$35,INT((ROW()-4)/2)+1),IF(INDEX(Positions!$D$6:$D$35,INT((ROW()-4)/2)+1)="buy","sell","buy")))</f>
        <v/>
      </c>
      <c r="E23" s="22">
        <f>IF(INDEX(Positions!$B$6:$B$35,INT((ROW()-4)/2)+1)="","",TEXT(INDEX(Positions!$E$6:$E$35,INT((ROW()-4)/2)+1),"0.00")&amp;" / "&amp;TEXT(INDEX(Positions!$E$6:$E$35,INT((ROW()-4)/2)+1),"0.00"))</f>
        <v/>
      </c>
      <c r="F23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3" s="22">
        <f>IF(INDEX(Positions!$B$6:$B$35,INT((ROW()-4)/2)+1)="","",IF(MOD(ROW()-4,2)=0,INDEX(Positions!$G$6:$G$35,INT((ROW()-4)/2)+1),""))</f>
        <v/>
      </c>
      <c r="H23" s="22">
        <f>IF(INDEX(Positions!$B$6:$B$35,INT((ROW()-4)/2)+1)="","",IF(MOD(ROW()-4,2)=0,INDEX(Positions!$H$6:$H$35,INT((ROW()-4)/2)+1),""))</f>
        <v/>
      </c>
      <c r="I23" s="21">
        <f>IF(INDEX(Positions!$B$6:$B$35,INT((ROW()-4)/2)+1)="","",IF(MOD(ROW()-4,2)=0,INDEX(Positions!$A$6:$A$35,INT((ROW()-4)/2)+1),INDEX(Positions!$I$6:$I$35,INT((ROW()-4)/2)+1)))</f>
        <v/>
      </c>
      <c r="J23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3" s="22">
        <f>IF(INDEX(Positions!$B$6:$B$35,INT((ROW()-4)/2)+1)="","",IF(MOD(ROW()-4,2)=0,INDEX(Positions!$V$6:$V$35,INT((ROW()-4)/2)+1),INDEX(Positions!$W$6:$W$35,INT((ROW()-4)/2)+1)))</f>
        <v/>
      </c>
    </row>
    <row r="24">
      <c r="A24" s="21">
        <f>IF(INDEX(Positions!$B$6:$B$35,INT((ROW()-4)/2)+1)="","",IF(MOD(ROW()-4,2)=0,INDEX(Positions!$A$6:$A$35,INT((ROW()-4)/2)+1),INDEX(Positions!$I$6:$I$35,INT((ROW()-4)/2)+1)))</f>
        <v/>
      </c>
      <c r="B24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4" s="22">
        <f>IF(INDEX(Positions!$B$6:$B$35,INT((ROW()-4)/2)+1)="","",INDEX(Positions!$C$6:$C$35,INT((ROW()-4)/2)+1))</f>
        <v/>
      </c>
      <c r="D24" s="22">
        <f>IF(INDEX(Positions!$B$6:$B$35,INT((ROW()-4)/2)+1)="","",IF(MOD(ROW()-4,2)=0,INDEX(Positions!$D$6:$D$35,INT((ROW()-4)/2)+1),IF(INDEX(Positions!$D$6:$D$35,INT((ROW()-4)/2)+1)="buy","sell","buy")))</f>
        <v/>
      </c>
      <c r="E24" s="22">
        <f>IF(INDEX(Positions!$B$6:$B$35,INT((ROW()-4)/2)+1)="","",TEXT(INDEX(Positions!$E$6:$E$35,INT((ROW()-4)/2)+1),"0.00")&amp;" / "&amp;TEXT(INDEX(Positions!$E$6:$E$35,INT((ROW()-4)/2)+1),"0.00"))</f>
        <v/>
      </c>
      <c r="F24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4" s="22">
        <f>IF(INDEX(Positions!$B$6:$B$35,INT((ROW()-4)/2)+1)="","",IF(MOD(ROW()-4,2)=0,INDEX(Positions!$G$6:$G$35,INT((ROW()-4)/2)+1),""))</f>
        <v/>
      </c>
      <c r="H24" s="22">
        <f>IF(INDEX(Positions!$B$6:$B$35,INT((ROW()-4)/2)+1)="","",IF(MOD(ROW()-4,2)=0,INDEX(Positions!$H$6:$H$35,INT((ROW()-4)/2)+1),""))</f>
        <v/>
      </c>
      <c r="I24" s="21">
        <f>IF(INDEX(Positions!$B$6:$B$35,INT((ROW()-4)/2)+1)="","",IF(MOD(ROW()-4,2)=0,INDEX(Positions!$A$6:$A$35,INT((ROW()-4)/2)+1),INDEX(Positions!$I$6:$I$35,INT((ROW()-4)/2)+1)))</f>
        <v/>
      </c>
      <c r="J24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4" s="22">
        <f>IF(INDEX(Positions!$B$6:$B$35,INT((ROW()-4)/2)+1)="","",IF(MOD(ROW()-4,2)=0,INDEX(Positions!$V$6:$V$35,INT((ROW()-4)/2)+1),INDEX(Positions!$W$6:$W$35,INT((ROW()-4)/2)+1)))</f>
        <v/>
      </c>
    </row>
    <row r="25">
      <c r="A25" s="21">
        <f>IF(INDEX(Positions!$B$6:$B$35,INT((ROW()-4)/2)+1)="","",IF(MOD(ROW()-4,2)=0,INDEX(Positions!$A$6:$A$35,INT((ROW()-4)/2)+1),INDEX(Positions!$I$6:$I$35,INT((ROW()-4)/2)+1)))</f>
        <v/>
      </c>
      <c r="B25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5" s="22">
        <f>IF(INDEX(Positions!$B$6:$B$35,INT((ROW()-4)/2)+1)="","",INDEX(Positions!$C$6:$C$35,INT((ROW()-4)/2)+1))</f>
        <v/>
      </c>
      <c r="D25" s="22">
        <f>IF(INDEX(Positions!$B$6:$B$35,INT((ROW()-4)/2)+1)="","",IF(MOD(ROW()-4,2)=0,INDEX(Positions!$D$6:$D$35,INT((ROW()-4)/2)+1),IF(INDEX(Positions!$D$6:$D$35,INT((ROW()-4)/2)+1)="buy","sell","buy")))</f>
        <v/>
      </c>
      <c r="E25" s="22">
        <f>IF(INDEX(Positions!$B$6:$B$35,INT((ROW()-4)/2)+1)="","",TEXT(INDEX(Positions!$E$6:$E$35,INT((ROW()-4)/2)+1),"0.00")&amp;" / "&amp;TEXT(INDEX(Positions!$E$6:$E$35,INT((ROW()-4)/2)+1),"0.00"))</f>
        <v/>
      </c>
      <c r="F25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5" s="22">
        <f>IF(INDEX(Positions!$B$6:$B$35,INT((ROW()-4)/2)+1)="","",IF(MOD(ROW()-4,2)=0,INDEX(Positions!$G$6:$G$35,INT((ROW()-4)/2)+1),""))</f>
        <v/>
      </c>
      <c r="H25" s="22">
        <f>IF(INDEX(Positions!$B$6:$B$35,INT((ROW()-4)/2)+1)="","",IF(MOD(ROW()-4,2)=0,INDEX(Positions!$H$6:$H$35,INT((ROW()-4)/2)+1),""))</f>
        <v/>
      </c>
      <c r="I25" s="21">
        <f>IF(INDEX(Positions!$B$6:$B$35,INT((ROW()-4)/2)+1)="","",IF(MOD(ROW()-4,2)=0,INDEX(Positions!$A$6:$A$35,INT((ROW()-4)/2)+1),INDEX(Positions!$I$6:$I$35,INT((ROW()-4)/2)+1)))</f>
        <v/>
      </c>
      <c r="J25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5" s="22">
        <f>IF(INDEX(Positions!$B$6:$B$35,INT((ROW()-4)/2)+1)="","",IF(MOD(ROW()-4,2)=0,INDEX(Positions!$V$6:$V$35,INT((ROW()-4)/2)+1),INDEX(Positions!$W$6:$W$35,INT((ROW()-4)/2)+1)))</f>
        <v/>
      </c>
    </row>
    <row r="26">
      <c r="A26" s="21">
        <f>IF(INDEX(Positions!$B$6:$B$35,INT((ROW()-4)/2)+1)="","",IF(MOD(ROW()-4,2)=0,INDEX(Positions!$A$6:$A$35,INT((ROW()-4)/2)+1),INDEX(Positions!$I$6:$I$35,INT((ROW()-4)/2)+1)))</f>
        <v/>
      </c>
      <c r="B26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6" s="22">
        <f>IF(INDEX(Positions!$B$6:$B$35,INT((ROW()-4)/2)+1)="","",INDEX(Positions!$C$6:$C$35,INT((ROW()-4)/2)+1))</f>
        <v/>
      </c>
      <c r="D26" s="22">
        <f>IF(INDEX(Positions!$B$6:$B$35,INT((ROW()-4)/2)+1)="","",IF(MOD(ROW()-4,2)=0,INDEX(Positions!$D$6:$D$35,INT((ROW()-4)/2)+1),IF(INDEX(Positions!$D$6:$D$35,INT((ROW()-4)/2)+1)="buy","sell","buy")))</f>
        <v/>
      </c>
      <c r="E26" s="22">
        <f>IF(INDEX(Positions!$B$6:$B$35,INT((ROW()-4)/2)+1)="","",TEXT(INDEX(Positions!$E$6:$E$35,INT((ROW()-4)/2)+1),"0.00")&amp;" / "&amp;TEXT(INDEX(Positions!$E$6:$E$35,INT((ROW()-4)/2)+1),"0.00"))</f>
        <v/>
      </c>
      <c r="F26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6" s="22">
        <f>IF(INDEX(Positions!$B$6:$B$35,INT((ROW()-4)/2)+1)="","",IF(MOD(ROW()-4,2)=0,INDEX(Positions!$G$6:$G$35,INT((ROW()-4)/2)+1),""))</f>
        <v/>
      </c>
      <c r="H26" s="22">
        <f>IF(INDEX(Positions!$B$6:$B$35,INT((ROW()-4)/2)+1)="","",IF(MOD(ROW()-4,2)=0,INDEX(Positions!$H$6:$H$35,INT((ROW()-4)/2)+1),""))</f>
        <v/>
      </c>
      <c r="I26" s="21">
        <f>IF(INDEX(Positions!$B$6:$B$35,INT((ROW()-4)/2)+1)="","",IF(MOD(ROW()-4,2)=0,INDEX(Positions!$A$6:$A$35,INT((ROW()-4)/2)+1),INDEX(Positions!$I$6:$I$35,INT((ROW()-4)/2)+1)))</f>
        <v/>
      </c>
      <c r="J26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6" s="22">
        <f>IF(INDEX(Positions!$B$6:$B$35,INT((ROW()-4)/2)+1)="","",IF(MOD(ROW()-4,2)=0,INDEX(Positions!$V$6:$V$35,INT((ROW()-4)/2)+1),INDEX(Positions!$W$6:$W$35,INT((ROW()-4)/2)+1)))</f>
        <v/>
      </c>
    </row>
    <row r="27">
      <c r="A27" s="21">
        <f>IF(INDEX(Positions!$B$6:$B$35,INT((ROW()-4)/2)+1)="","",IF(MOD(ROW()-4,2)=0,INDEX(Positions!$A$6:$A$35,INT((ROW()-4)/2)+1),INDEX(Positions!$I$6:$I$35,INT((ROW()-4)/2)+1)))</f>
        <v/>
      </c>
      <c r="B27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7" s="22">
        <f>IF(INDEX(Positions!$B$6:$B$35,INT((ROW()-4)/2)+1)="","",INDEX(Positions!$C$6:$C$35,INT((ROW()-4)/2)+1))</f>
        <v/>
      </c>
      <c r="D27" s="22">
        <f>IF(INDEX(Positions!$B$6:$B$35,INT((ROW()-4)/2)+1)="","",IF(MOD(ROW()-4,2)=0,INDEX(Positions!$D$6:$D$35,INT((ROW()-4)/2)+1),IF(INDEX(Positions!$D$6:$D$35,INT((ROW()-4)/2)+1)="buy","sell","buy")))</f>
        <v/>
      </c>
      <c r="E27" s="22">
        <f>IF(INDEX(Positions!$B$6:$B$35,INT((ROW()-4)/2)+1)="","",TEXT(INDEX(Positions!$E$6:$E$35,INT((ROW()-4)/2)+1),"0.00")&amp;" / "&amp;TEXT(INDEX(Positions!$E$6:$E$35,INT((ROW()-4)/2)+1),"0.00"))</f>
        <v/>
      </c>
      <c r="F27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7" s="22">
        <f>IF(INDEX(Positions!$B$6:$B$35,INT((ROW()-4)/2)+1)="","",IF(MOD(ROW()-4,2)=0,INDEX(Positions!$G$6:$G$35,INT((ROW()-4)/2)+1),""))</f>
        <v/>
      </c>
      <c r="H27" s="22">
        <f>IF(INDEX(Positions!$B$6:$B$35,INT((ROW()-4)/2)+1)="","",IF(MOD(ROW()-4,2)=0,INDEX(Positions!$H$6:$H$35,INT((ROW()-4)/2)+1),""))</f>
        <v/>
      </c>
      <c r="I27" s="21">
        <f>IF(INDEX(Positions!$B$6:$B$35,INT((ROW()-4)/2)+1)="","",IF(MOD(ROW()-4,2)=0,INDEX(Positions!$A$6:$A$35,INT((ROW()-4)/2)+1),INDEX(Positions!$I$6:$I$35,INT((ROW()-4)/2)+1)))</f>
        <v/>
      </c>
      <c r="J27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7" s="22">
        <f>IF(INDEX(Positions!$B$6:$B$35,INT((ROW()-4)/2)+1)="","",IF(MOD(ROW()-4,2)=0,INDEX(Positions!$V$6:$V$35,INT((ROW()-4)/2)+1),INDEX(Positions!$W$6:$W$35,INT((ROW()-4)/2)+1)))</f>
        <v/>
      </c>
    </row>
    <row r="28">
      <c r="A28" s="21">
        <f>IF(INDEX(Positions!$B$6:$B$35,INT((ROW()-4)/2)+1)="","",IF(MOD(ROW()-4,2)=0,INDEX(Positions!$A$6:$A$35,INT((ROW()-4)/2)+1),INDEX(Positions!$I$6:$I$35,INT((ROW()-4)/2)+1)))</f>
        <v/>
      </c>
      <c r="B28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8" s="22">
        <f>IF(INDEX(Positions!$B$6:$B$35,INT((ROW()-4)/2)+1)="","",INDEX(Positions!$C$6:$C$35,INT((ROW()-4)/2)+1))</f>
        <v/>
      </c>
      <c r="D28" s="22">
        <f>IF(INDEX(Positions!$B$6:$B$35,INT((ROW()-4)/2)+1)="","",IF(MOD(ROW()-4,2)=0,INDEX(Positions!$D$6:$D$35,INT((ROW()-4)/2)+1),IF(INDEX(Positions!$D$6:$D$35,INT((ROW()-4)/2)+1)="buy","sell","buy")))</f>
        <v/>
      </c>
      <c r="E28" s="22">
        <f>IF(INDEX(Positions!$B$6:$B$35,INT((ROW()-4)/2)+1)="","",TEXT(INDEX(Positions!$E$6:$E$35,INT((ROW()-4)/2)+1),"0.00")&amp;" / "&amp;TEXT(INDEX(Positions!$E$6:$E$35,INT((ROW()-4)/2)+1),"0.00"))</f>
        <v/>
      </c>
      <c r="F28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8" s="22">
        <f>IF(INDEX(Positions!$B$6:$B$35,INT((ROW()-4)/2)+1)="","",IF(MOD(ROW()-4,2)=0,INDEX(Positions!$G$6:$G$35,INT((ROW()-4)/2)+1),""))</f>
        <v/>
      </c>
      <c r="H28" s="22">
        <f>IF(INDEX(Positions!$B$6:$B$35,INT((ROW()-4)/2)+1)="","",IF(MOD(ROW()-4,2)=0,INDEX(Positions!$H$6:$H$35,INT((ROW()-4)/2)+1),""))</f>
        <v/>
      </c>
      <c r="I28" s="21">
        <f>IF(INDEX(Positions!$B$6:$B$35,INT((ROW()-4)/2)+1)="","",IF(MOD(ROW()-4,2)=0,INDEX(Positions!$A$6:$A$35,INT((ROW()-4)/2)+1),INDEX(Positions!$I$6:$I$35,INT((ROW()-4)/2)+1)))</f>
        <v/>
      </c>
      <c r="J28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8" s="22">
        <f>IF(INDEX(Positions!$B$6:$B$35,INT((ROW()-4)/2)+1)="","",IF(MOD(ROW()-4,2)=0,INDEX(Positions!$V$6:$V$35,INT((ROW()-4)/2)+1),INDEX(Positions!$W$6:$W$35,INT((ROW()-4)/2)+1)))</f>
        <v/>
      </c>
    </row>
    <row r="29">
      <c r="A29" s="21">
        <f>IF(INDEX(Positions!$B$6:$B$35,INT((ROW()-4)/2)+1)="","",IF(MOD(ROW()-4,2)=0,INDEX(Positions!$A$6:$A$35,INT((ROW()-4)/2)+1),INDEX(Positions!$I$6:$I$35,INT((ROW()-4)/2)+1)))</f>
        <v/>
      </c>
      <c r="B29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29" s="22">
        <f>IF(INDEX(Positions!$B$6:$B$35,INT((ROW()-4)/2)+1)="","",INDEX(Positions!$C$6:$C$35,INT((ROW()-4)/2)+1))</f>
        <v/>
      </c>
      <c r="D29" s="22">
        <f>IF(INDEX(Positions!$B$6:$B$35,INT((ROW()-4)/2)+1)="","",IF(MOD(ROW()-4,2)=0,INDEX(Positions!$D$6:$D$35,INT((ROW()-4)/2)+1),IF(INDEX(Positions!$D$6:$D$35,INT((ROW()-4)/2)+1)="buy","sell","buy")))</f>
        <v/>
      </c>
      <c r="E29" s="22">
        <f>IF(INDEX(Positions!$B$6:$B$35,INT((ROW()-4)/2)+1)="","",TEXT(INDEX(Positions!$E$6:$E$35,INT((ROW()-4)/2)+1),"0.00")&amp;" / "&amp;TEXT(INDEX(Positions!$E$6:$E$35,INT((ROW()-4)/2)+1),"0.00"))</f>
        <v/>
      </c>
      <c r="F29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29" s="22">
        <f>IF(INDEX(Positions!$B$6:$B$35,INT((ROW()-4)/2)+1)="","",IF(MOD(ROW()-4,2)=0,INDEX(Positions!$G$6:$G$35,INT((ROW()-4)/2)+1),""))</f>
        <v/>
      </c>
      <c r="H29" s="22">
        <f>IF(INDEX(Positions!$B$6:$B$35,INT((ROW()-4)/2)+1)="","",IF(MOD(ROW()-4,2)=0,INDEX(Positions!$H$6:$H$35,INT((ROW()-4)/2)+1),""))</f>
        <v/>
      </c>
      <c r="I29" s="21">
        <f>IF(INDEX(Positions!$B$6:$B$35,INT((ROW()-4)/2)+1)="","",IF(MOD(ROW()-4,2)=0,INDEX(Positions!$A$6:$A$35,INT((ROW()-4)/2)+1),INDEX(Positions!$I$6:$I$35,INT((ROW()-4)/2)+1)))</f>
        <v/>
      </c>
      <c r="J29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29" s="22">
        <f>IF(INDEX(Positions!$B$6:$B$35,INT((ROW()-4)/2)+1)="","",IF(MOD(ROW()-4,2)=0,INDEX(Positions!$V$6:$V$35,INT((ROW()-4)/2)+1),INDEX(Positions!$W$6:$W$35,INT((ROW()-4)/2)+1)))</f>
        <v/>
      </c>
    </row>
    <row r="30">
      <c r="A30" s="21">
        <f>IF(INDEX(Positions!$B$6:$B$35,INT((ROW()-4)/2)+1)="","",IF(MOD(ROW()-4,2)=0,INDEX(Positions!$A$6:$A$35,INT((ROW()-4)/2)+1),INDEX(Positions!$I$6:$I$35,INT((ROW()-4)/2)+1)))</f>
        <v/>
      </c>
      <c r="B30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0" s="22">
        <f>IF(INDEX(Positions!$B$6:$B$35,INT((ROW()-4)/2)+1)="","",INDEX(Positions!$C$6:$C$35,INT((ROW()-4)/2)+1))</f>
        <v/>
      </c>
      <c r="D30" s="22">
        <f>IF(INDEX(Positions!$B$6:$B$35,INT((ROW()-4)/2)+1)="","",IF(MOD(ROW()-4,2)=0,INDEX(Positions!$D$6:$D$35,INT((ROW()-4)/2)+1),IF(INDEX(Positions!$D$6:$D$35,INT((ROW()-4)/2)+1)="buy","sell","buy")))</f>
        <v/>
      </c>
      <c r="E30" s="22">
        <f>IF(INDEX(Positions!$B$6:$B$35,INT((ROW()-4)/2)+1)="","",TEXT(INDEX(Positions!$E$6:$E$35,INT((ROW()-4)/2)+1),"0.00")&amp;" / "&amp;TEXT(INDEX(Positions!$E$6:$E$35,INT((ROW()-4)/2)+1),"0.00"))</f>
        <v/>
      </c>
      <c r="F30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0" s="22">
        <f>IF(INDEX(Positions!$B$6:$B$35,INT((ROW()-4)/2)+1)="","",IF(MOD(ROW()-4,2)=0,INDEX(Positions!$G$6:$G$35,INT((ROW()-4)/2)+1),""))</f>
        <v/>
      </c>
      <c r="H30" s="22">
        <f>IF(INDEX(Positions!$B$6:$B$35,INT((ROW()-4)/2)+1)="","",IF(MOD(ROW()-4,2)=0,INDEX(Positions!$H$6:$H$35,INT((ROW()-4)/2)+1),""))</f>
        <v/>
      </c>
      <c r="I30" s="21">
        <f>IF(INDEX(Positions!$B$6:$B$35,INT((ROW()-4)/2)+1)="","",IF(MOD(ROW()-4,2)=0,INDEX(Positions!$A$6:$A$35,INT((ROW()-4)/2)+1),INDEX(Positions!$I$6:$I$35,INT((ROW()-4)/2)+1)))</f>
        <v/>
      </c>
      <c r="J30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0" s="22">
        <f>IF(INDEX(Positions!$B$6:$B$35,INT((ROW()-4)/2)+1)="","",IF(MOD(ROW()-4,2)=0,INDEX(Positions!$V$6:$V$35,INT((ROW()-4)/2)+1),INDEX(Positions!$W$6:$W$35,INT((ROW()-4)/2)+1)))</f>
        <v/>
      </c>
    </row>
    <row r="31">
      <c r="A31" s="21">
        <f>IF(INDEX(Positions!$B$6:$B$35,INT((ROW()-4)/2)+1)="","",IF(MOD(ROW()-4,2)=0,INDEX(Positions!$A$6:$A$35,INT((ROW()-4)/2)+1),INDEX(Positions!$I$6:$I$35,INT((ROW()-4)/2)+1)))</f>
        <v/>
      </c>
      <c r="B31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1" s="22">
        <f>IF(INDEX(Positions!$B$6:$B$35,INT((ROW()-4)/2)+1)="","",INDEX(Positions!$C$6:$C$35,INT((ROW()-4)/2)+1))</f>
        <v/>
      </c>
      <c r="D31" s="22">
        <f>IF(INDEX(Positions!$B$6:$B$35,INT((ROW()-4)/2)+1)="","",IF(MOD(ROW()-4,2)=0,INDEX(Positions!$D$6:$D$35,INT((ROW()-4)/2)+1),IF(INDEX(Positions!$D$6:$D$35,INT((ROW()-4)/2)+1)="buy","sell","buy")))</f>
        <v/>
      </c>
      <c r="E31" s="22">
        <f>IF(INDEX(Positions!$B$6:$B$35,INT((ROW()-4)/2)+1)="","",TEXT(INDEX(Positions!$E$6:$E$35,INT((ROW()-4)/2)+1),"0.00")&amp;" / "&amp;TEXT(INDEX(Positions!$E$6:$E$35,INT((ROW()-4)/2)+1),"0.00"))</f>
        <v/>
      </c>
      <c r="F31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1" s="22">
        <f>IF(INDEX(Positions!$B$6:$B$35,INT((ROW()-4)/2)+1)="","",IF(MOD(ROW()-4,2)=0,INDEX(Positions!$G$6:$G$35,INT((ROW()-4)/2)+1),""))</f>
        <v/>
      </c>
      <c r="H31" s="22">
        <f>IF(INDEX(Positions!$B$6:$B$35,INT((ROW()-4)/2)+1)="","",IF(MOD(ROW()-4,2)=0,INDEX(Positions!$H$6:$H$35,INT((ROW()-4)/2)+1),""))</f>
        <v/>
      </c>
      <c r="I31" s="21">
        <f>IF(INDEX(Positions!$B$6:$B$35,INT((ROW()-4)/2)+1)="","",IF(MOD(ROW()-4,2)=0,INDEX(Positions!$A$6:$A$35,INT((ROW()-4)/2)+1),INDEX(Positions!$I$6:$I$35,INT((ROW()-4)/2)+1)))</f>
        <v/>
      </c>
      <c r="J31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1" s="22">
        <f>IF(INDEX(Positions!$B$6:$B$35,INT((ROW()-4)/2)+1)="","",IF(MOD(ROW()-4,2)=0,INDEX(Positions!$V$6:$V$35,INT((ROW()-4)/2)+1),INDEX(Positions!$W$6:$W$35,INT((ROW()-4)/2)+1)))</f>
        <v/>
      </c>
    </row>
    <row r="32">
      <c r="A32" s="21">
        <f>IF(INDEX(Positions!$B$6:$B$35,INT((ROW()-4)/2)+1)="","",IF(MOD(ROW()-4,2)=0,INDEX(Positions!$A$6:$A$35,INT((ROW()-4)/2)+1),INDEX(Positions!$I$6:$I$35,INT((ROW()-4)/2)+1)))</f>
        <v/>
      </c>
      <c r="B32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2" s="22">
        <f>IF(INDEX(Positions!$B$6:$B$35,INT((ROW()-4)/2)+1)="","",INDEX(Positions!$C$6:$C$35,INT((ROW()-4)/2)+1))</f>
        <v/>
      </c>
      <c r="D32" s="22">
        <f>IF(INDEX(Positions!$B$6:$B$35,INT((ROW()-4)/2)+1)="","",IF(MOD(ROW()-4,2)=0,INDEX(Positions!$D$6:$D$35,INT((ROW()-4)/2)+1),IF(INDEX(Positions!$D$6:$D$35,INT((ROW()-4)/2)+1)="buy","sell","buy")))</f>
        <v/>
      </c>
      <c r="E32" s="22">
        <f>IF(INDEX(Positions!$B$6:$B$35,INT((ROW()-4)/2)+1)="","",TEXT(INDEX(Positions!$E$6:$E$35,INT((ROW()-4)/2)+1),"0.00")&amp;" / "&amp;TEXT(INDEX(Positions!$E$6:$E$35,INT((ROW()-4)/2)+1),"0.00"))</f>
        <v/>
      </c>
      <c r="F32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2" s="22">
        <f>IF(INDEX(Positions!$B$6:$B$35,INT((ROW()-4)/2)+1)="","",IF(MOD(ROW()-4,2)=0,INDEX(Positions!$G$6:$G$35,INT((ROW()-4)/2)+1),""))</f>
        <v/>
      </c>
      <c r="H32" s="22">
        <f>IF(INDEX(Positions!$B$6:$B$35,INT((ROW()-4)/2)+1)="","",IF(MOD(ROW()-4,2)=0,INDEX(Positions!$H$6:$H$35,INT((ROW()-4)/2)+1),""))</f>
        <v/>
      </c>
      <c r="I32" s="21">
        <f>IF(INDEX(Positions!$B$6:$B$35,INT((ROW()-4)/2)+1)="","",IF(MOD(ROW()-4,2)=0,INDEX(Positions!$A$6:$A$35,INT((ROW()-4)/2)+1),INDEX(Positions!$I$6:$I$35,INT((ROW()-4)/2)+1)))</f>
        <v/>
      </c>
      <c r="J32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2" s="22">
        <f>IF(INDEX(Positions!$B$6:$B$35,INT((ROW()-4)/2)+1)="","",IF(MOD(ROW()-4,2)=0,INDEX(Positions!$V$6:$V$35,INT((ROW()-4)/2)+1),INDEX(Positions!$W$6:$W$35,INT((ROW()-4)/2)+1)))</f>
        <v/>
      </c>
    </row>
    <row r="33">
      <c r="A33" s="21">
        <f>IF(INDEX(Positions!$B$6:$B$35,INT((ROW()-4)/2)+1)="","",IF(MOD(ROW()-4,2)=0,INDEX(Positions!$A$6:$A$35,INT((ROW()-4)/2)+1),INDEX(Positions!$I$6:$I$35,INT((ROW()-4)/2)+1)))</f>
        <v/>
      </c>
      <c r="B33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3" s="22">
        <f>IF(INDEX(Positions!$B$6:$B$35,INT((ROW()-4)/2)+1)="","",INDEX(Positions!$C$6:$C$35,INT((ROW()-4)/2)+1))</f>
        <v/>
      </c>
      <c r="D33" s="22">
        <f>IF(INDEX(Positions!$B$6:$B$35,INT((ROW()-4)/2)+1)="","",IF(MOD(ROW()-4,2)=0,INDEX(Positions!$D$6:$D$35,INT((ROW()-4)/2)+1),IF(INDEX(Positions!$D$6:$D$35,INT((ROW()-4)/2)+1)="buy","sell","buy")))</f>
        <v/>
      </c>
      <c r="E33" s="22">
        <f>IF(INDEX(Positions!$B$6:$B$35,INT((ROW()-4)/2)+1)="","",TEXT(INDEX(Positions!$E$6:$E$35,INT((ROW()-4)/2)+1),"0.00")&amp;" / "&amp;TEXT(INDEX(Positions!$E$6:$E$35,INT((ROW()-4)/2)+1),"0.00"))</f>
        <v/>
      </c>
      <c r="F33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3" s="22">
        <f>IF(INDEX(Positions!$B$6:$B$35,INT((ROW()-4)/2)+1)="","",IF(MOD(ROW()-4,2)=0,INDEX(Positions!$G$6:$G$35,INT((ROW()-4)/2)+1),""))</f>
        <v/>
      </c>
      <c r="H33" s="22">
        <f>IF(INDEX(Positions!$B$6:$B$35,INT((ROW()-4)/2)+1)="","",IF(MOD(ROW()-4,2)=0,INDEX(Positions!$H$6:$H$35,INT((ROW()-4)/2)+1),""))</f>
        <v/>
      </c>
      <c r="I33" s="21">
        <f>IF(INDEX(Positions!$B$6:$B$35,INT((ROW()-4)/2)+1)="","",IF(MOD(ROW()-4,2)=0,INDEX(Positions!$A$6:$A$35,INT((ROW()-4)/2)+1),INDEX(Positions!$I$6:$I$35,INT((ROW()-4)/2)+1)))</f>
        <v/>
      </c>
      <c r="J33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3" s="22">
        <f>IF(INDEX(Positions!$B$6:$B$35,INT((ROW()-4)/2)+1)="","",IF(MOD(ROW()-4,2)=0,INDEX(Positions!$V$6:$V$35,INT((ROW()-4)/2)+1),INDEX(Positions!$W$6:$W$35,INT((ROW()-4)/2)+1)))</f>
        <v/>
      </c>
    </row>
    <row r="34">
      <c r="A34" s="21">
        <f>IF(INDEX(Positions!$B$6:$B$35,INT((ROW()-4)/2)+1)="","",IF(MOD(ROW()-4,2)=0,INDEX(Positions!$A$6:$A$35,INT((ROW()-4)/2)+1),INDEX(Positions!$I$6:$I$35,INT((ROW()-4)/2)+1)))</f>
        <v/>
      </c>
      <c r="B34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4" s="22">
        <f>IF(INDEX(Positions!$B$6:$B$35,INT((ROW()-4)/2)+1)="","",INDEX(Positions!$C$6:$C$35,INT((ROW()-4)/2)+1))</f>
        <v/>
      </c>
      <c r="D34" s="22">
        <f>IF(INDEX(Positions!$B$6:$B$35,INT((ROW()-4)/2)+1)="","",IF(MOD(ROW()-4,2)=0,INDEX(Positions!$D$6:$D$35,INT((ROW()-4)/2)+1),IF(INDEX(Positions!$D$6:$D$35,INT((ROW()-4)/2)+1)="buy","sell","buy")))</f>
        <v/>
      </c>
      <c r="E34" s="22">
        <f>IF(INDEX(Positions!$B$6:$B$35,INT((ROW()-4)/2)+1)="","",TEXT(INDEX(Positions!$E$6:$E$35,INT((ROW()-4)/2)+1),"0.00")&amp;" / "&amp;TEXT(INDEX(Positions!$E$6:$E$35,INT((ROW()-4)/2)+1),"0.00"))</f>
        <v/>
      </c>
      <c r="F34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4" s="22">
        <f>IF(INDEX(Positions!$B$6:$B$35,INT((ROW()-4)/2)+1)="","",IF(MOD(ROW()-4,2)=0,INDEX(Positions!$G$6:$G$35,INT((ROW()-4)/2)+1),""))</f>
        <v/>
      </c>
      <c r="H34" s="22">
        <f>IF(INDEX(Positions!$B$6:$B$35,INT((ROW()-4)/2)+1)="","",IF(MOD(ROW()-4,2)=0,INDEX(Positions!$H$6:$H$35,INT((ROW()-4)/2)+1),""))</f>
        <v/>
      </c>
      <c r="I34" s="21">
        <f>IF(INDEX(Positions!$B$6:$B$35,INT((ROW()-4)/2)+1)="","",IF(MOD(ROW()-4,2)=0,INDEX(Positions!$A$6:$A$35,INT((ROW()-4)/2)+1),INDEX(Positions!$I$6:$I$35,INT((ROW()-4)/2)+1)))</f>
        <v/>
      </c>
      <c r="J34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4" s="22">
        <f>IF(INDEX(Positions!$B$6:$B$35,INT((ROW()-4)/2)+1)="","",IF(MOD(ROW()-4,2)=0,INDEX(Positions!$V$6:$V$35,INT((ROW()-4)/2)+1),INDEX(Positions!$W$6:$W$35,INT((ROW()-4)/2)+1)))</f>
        <v/>
      </c>
    </row>
    <row r="35">
      <c r="A35" s="21">
        <f>IF(INDEX(Positions!$B$6:$B$35,INT((ROW()-4)/2)+1)="","",IF(MOD(ROW()-4,2)=0,INDEX(Positions!$A$6:$A$35,INT((ROW()-4)/2)+1),INDEX(Positions!$I$6:$I$35,INT((ROW()-4)/2)+1)))</f>
        <v/>
      </c>
      <c r="B35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5" s="22">
        <f>IF(INDEX(Positions!$B$6:$B$35,INT((ROW()-4)/2)+1)="","",INDEX(Positions!$C$6:$C$35,INT((ROW()-4)/2)+1))</f>
        <v/>
      </c>
      <c r="D35" s="22">
        <f>IF(INDEX(Positions!$B$6:$B$35,INT((ROW()-4)/2)+1)="","",IF(MOD(ROW()-4,2)=0,INDEX(Positions!$D$6:$D$35,INT((ROW()-4)/2)+1),IF(INDEX(Positions!$D$6:$D$35,INT((ROW()-4)/2)+1)="buy","sell","buy")))</f>
        <v/>
      </c>
      <c r="E35" s="22">
        <f>IF(INDEX(Positions!$B$6:$B$35,INT((ROW()-4)/2)+1)="","",TEXT(INDEX(Positions!$E$6:$E$35,INT((ROW()-4)/2)+1),"0.00")&amp;" / "&amp;TEXT(INDEX(Positions!$E$6:$E$35,INT((ROW()-4)/2)+1),"0.00"))</f>
        <v/>
      </c>
      <c r="F35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5" s="22">
        <f>IF(INDEX(Positions!$B$6:$B$35,INT((ROW()-4)/2)+1)="","",IF(MOD(ROW()-4,2)=0,INDEX(Positions!$G$6:$G$35,INT((ROW()-4)/2)+1),""))</f>
        <v/>
      </c>
      <c r="H35" s="22">
        <f>IF(INDEX(Positions!$B$6:$B$35,INT((ROW()-4)/2)+1)="","",IF(MOD(ROW()-4,2)=0,INDEX(Positions!$H$6:$H$35,INT((ROW()-4)/2)+1),""))</f>
        <v/>
      </c>
      <c r="I35" s="21">
        <f>IF(INDEX(Positions!$B$6:$B$35,INT((ROW()-4)/2)+1)="","",IF(MOD(ROW()-4,2)=0,INDEX(Positions!$A$6:$A$35,INT((ROW()-4)/2)+1),INDEX(Positions!$I$6:$I$35,INT((ROW()-4)/2)+1)))</f>
        <v/>
      </c>
      <c r="J35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5" s="22">
        <f>IF(INDEX(Positions!$B$6:$B$35,INT((ROW()-4)/2)+1)="","",IF(MOD(ROW()-4,2)=0,INDEX(Positions!$V$6:$V$35,INT((ROW()-4)/2)+1),INDEX(Positions!$W$6:$W$35,INT((ROW()-4)/2)+1)))</f>
        <v/>
      </c>
    </row>
    <row r="36">
      <c r="A36" s="21">
        <f>IF(INDEX(Positions!$B$6:$B$35,INT((ROW()-4)/2)+1)="","",IF(MOD(ROW()-4,2)=0,INDEX(Positions!$A$6:$A$35,INT((ROW()-4)/2)+1),INDEX(Positions!$I$6:$I$35,INT((ROW()-4)/2)+1)))</f>
        <v/>
      </c>
      <c r="B36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6" s="22">
        <f>IF(INDEX(Positions!$B$6:$B$35,INT((ROW()-4)/2)+1)="","",INDEX(Positions!$C$6:$C$35,INT((ROW()-4)/2)+1))</f>
        <v/>
      </c>
      <c r="D36" s="22">
        <f>IF(INDEX(Positions!$B$6:$B$35,INT((ROW()-4)/2)+1)="","",IF(MOD(ROW()-4,2)=0,INDEX(Positions!$D$6:$D$35,INT((ROW()-4)/2)+1),IF(INDEX(Positions!$D$6:$D$35,INT((ROW()-4)/2)+1)="buy","sell","buy")))</f>
        <v/>
      </c>
      <c r="E36" s="22">
        <f>IF(INDEX(Positions!$B$6:$B$35,INT((ROW()-4)/2)+1)="","",TEXT(INDEX(Positions!$E$6:$E$35,INT((ROW()-4)/2)+1),"0.00")&amp;" / "&amp;TEXT(INDEX(Positions!$E$6:$E$35,INT((ROW()-4)/2)+1),"0.00"))</f>
        <v/>
      </c>
      <c r="F36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6" s="22">
        <f>IF(INDEX(Positions!$B$6:$B$35,INT((ROW()-4)/2)+1)="","",IF(MOD(ROW()-4,2)=0,INDEX(Positions!$G$6:$G$35,INT((ROW()-4)/2)+1),""))</f>
        <v/>
      </c>
      <c r="H36" s="22">
        <f>IF(INDEX(Positions!$B$6:$B$35,INT((ROW()-4)/2)+1)="","",IF(MOD(ROW()-4,2)=0,INDEX(Positions!$H$6:$H$35,INT((ROW()-4)/2)+1),""))</f>
        <v/>
      </c>
      <c r="I36" s="21">
        <f>IF(INDEX(Positions!$B$6:$B$35,INT((ROW()-4)/2)+1)="","",IF(MOD(ROW()-4,2)=0,INDEX(Positions!$A$6:$A$35,INT((ROW()-4)/2)+1),INDEX(Positions!$I$6:$I$35,INT((ROW()-4)/2)+1)))</f>
        <v/>
      </c>
      <c r="J36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6" s="22">
        <f>IF(INDEX(Positions!$B$6:$B$35,INT((ROW()-4)/2)+1)="","",IF(MOD(ROW()-4,2)=0,INDEX(Positions!$V$6:$V$35,INT((ROW()-4)/2)+1),INDEX(Positions!$W$6:$W$35,INT((ROW()-4)/2)+1)))</f>
        <v/>
      </c>
    </row>
    <row r="37">
      <c r="A37" s="21">
        <f>IF(INDEX(Positions!$B$6:$B$35,INT((ROW()-4)/2)+1)="","",IF(MOD(ROW()-4,2)=0,INDEX(Positions!$A$6:$A$35,INT((ROW()-4)/2)+1),INDEX(Positions!$I$6:$I$35,INT((ROW()-4)/2)+1)))</f>
        <v/>
      </c>
      <c r="B37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7" s="22">
        <f>IF(INDEX(Positions!$B$6:$B$35,INT((ROW()-4)/2)+1)="","",INDEX(Positions!$C$6:$C$35,INT((ROW()-4)/2)+1))</f>
        <v/>
      </c>
      <c r="D37" s="22">
        <f>IF(INDEX(Positions!$B$6:$B$35,INT((ROW()-4)/2)+1)="","",IF(MOD(ROW()-4,2)=0,INDEX(Positions!$D$6:$D$35,INT((ROW()-4)/2)+1),IF(INDEX(Positions!$D$6:$D$35,INT((ROW()-4)/2)+1)="buy","sell","buy")))</f>
        <v/>
      </c>
      <c r="E37" s="22">
        <f>IF(INDEX(Positions!$B$6:$B$35,INT((ROW()-4)/2)+1)="","",TEXT(INDEX(Positions!$E$6:$E$35,INT((ROW()-4)/2)+1),"0.00")&amp;" / "&amp;TEXT(INDEX(Positions!$E$6:$E$35,INT((ROW()-4)/2)+1),"0.00"))</f>
        <v/>
      </c>
      <c r="F37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7" s="22">
        <f>IF(INDEX(Positions!$B$6:$B$35,INT((ROW()-4)/2)+1)="","",IF(MOD(ROW()-4,2)=0,INDEX(Positions!$G$6:$G$35,INT((ROW()-4)/2)+1),""))</f>
        <v/>
      </c>
      <c r="H37" s="22">
        <f>IF(INDEX(Positions!$B$6:$B$35,INT((ROW()-4)/2)+1)="","",IF(MOD(ROW()-4,2)=0,INDEX(Positions!$H$6:$H$35,INT((ROW()-4)/2)+1),""))</f>
        <v/>
      </c>
      <c r="I37" s="21">
        <f>IF(INDEX(Positions!$B$6:$B$35,INT((ROW()-4)/2)+1)="","",IF(MOD(ROW()-4,2)=0,INDEX(Positions!$A$6:$A$35,INT((ROW()-4)/2)+1),INDEX(Positions!$I$6:$I$35,INT((ROW()-4)/2)+1)))</f>
        <v/>
      </c>
      <c r="J37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7" s="22">
        <f>IF(INDEX(Positions!$B$6:$B$35,INT((ROW()-4)/2)+1)="","",IF(MOD(ROW()-4,2)=0,INDEX(Positions!$V$6:$V$35,INT((ROW()-4)/2)+1),INDEX(Positions!$W$6:$W$35,INT((ROW()-4)/2)+1)))</f>
        <v/>
      </c>
    </row>
    <row r="38">
      <c r="A38" s="21">
        <f>IF(INDEX(Positions!$B$6:$B$35,INT((ROW()-4)/2)+1)="","",IF(MOD(ROW()-4,2)=0,INDEX(Positions!$A$6:$A$35,INT((ROW()-4)/2)+1),INDEX(Positions!$I$6:$I$35,INT((ROW()-4)/2)+1)))</f>
        <v/>
      </c>
      <c r="B38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8" s="22">
        <f>IF(INDEX(Positions!$B$6:$B$35,INT((ROW()-4)/2)+1)="","",INDEX(Positions!$C$6:$C$35,INT((ROW()-4)/2)+1))</f>
        <v/>
      </c>
      <c r="D38" s="22">
        <f>IF(INDEX(Positions!$B$6:$B$35,INT((ROW()-4)/2)+1)="","",IF(MOD(ROW()-4,2)=0,INDEX(Positions!$D$6:$D$35,INT((ROW()-4)/2)+1),IF(INDEX(Positions!$D$6:$D$35,INT((ROW()-4)/2)+1)="buy","sell","buy")))</f>
        <v/>
      </c>
      <c r="E38" s="22">
        <f>IF(INDEX(Positions!$B$6:$B$35,INT((ROW()-4)/2)+1)="","",TEXT(INDEX(Positions!$E$6:$E$35,INT((ROW()-4)/2)+1),"0.00")&amp;" / "&amp;TEXT(INDEX(Positions!$E$6:$E$35,INT((ROW()-4)/2)+1),"0.00"))</f>
        <v/>
      </c>
      <c r="F38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8" s="22">
        <f>IF(INDEX(Positions!$B$6:$B$35,INT((ROW()-4)/2)+1)="","",IF(MOD(ROW()-4,2)=0,INDEX(Positions!$G$6:$G$35,INT((ROW()-4)/2)+1),""))</f>
        <v/>
      </c>
      <c r="H38" s="22">
        <f>IF(INDEX(Positions!$B$6:$B$35,INT((ROW()-4)/2)+1)="","",IF(MOD(ROW()-4,2)=0,INDEX(Positions!$H$6:$H$35,INT((ROW()-4)/2)+1),""))</f>
        <v/>
      </c>
      <c r="I38" s="21">
        <f>IF(INDEX(Positions!$B$6:$B$35,INT((ROW()-4)/2)+1)="","",IF(MOD(ROW()-4,2)=0,INDEX(Positions!$A$6:$A$35,INT((ROW()-4)/2)+1),INDEX(Positions!$I$6:$I$35,INT((ROW()-4)/2)+1)))</f>
        <v/>
      </c>
      <c r="J38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8" s="22">
        <f>IF(INDEX(Positions!$B$6:$B$35,INT((ROW()-4)/2)+1)="","",IF(MOD(ROW()-4,2)=0,INDEX(Positions!$V$6:$V$35,INT((ROW()-4)/2)+1),INDEX(Positions!$W$6:$W$35,INT((ROW()-4)/2)+1)))</f>
        <v/>
      </c>
    </row>
    <row r="39">
      <c r="A39" s="21">
        <f>IF(INDEX(Positions!$B$6:$B$35,INT((ROW()-4)/2)+1)="","",IF(MOD(ROW()-4,2)=0,INDEX(Positions!$A$6:$A$35,INT((ROW()-4)/2)+1),INDEX(Positions!$I$6:$I$35,INT((ROW()-4)/2)+1)))</f>
        <v/>
      </c>
      <c r="B39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39" s="22">
        <f>IF(INDEX(Positions!$B$6:$B$35,INT((ROW()-4)/2)+1)="","",INDEX(Positions!$C$6:$C$35,INT((ROW()-4)/2)+1))</f>
        <v/>
      </c>
      <c r="D39" s="22">
        <f>IF(INDEX(Positions!$B$6:$B$35,INT((ROW()-4)/2)+1)="","",IF(MOD(ROW()-4,2)=0,INDEX(Positions!$D$6:$D$35,INT((ROW()-4)/2)+1),IF(INDEX(Positions!$D$6:$D$35,INT((ROW()-4)/2)+1)="buy","sell","buy")))</f>
        <v/>
      </c>
      <c r="E39" s="22">
        <f>IF(INDEX(Positions!$B$6:$B$35,INT((ROW()-4)/2)+1)="","",TEXT(INDEX(Positions!$E$6:$E$35,INT((ROW()-4)/2)+1),"0.00")&amp;" / "&amp;TEXT(INDEX(Positions!$E$6:$E$35,INT((ROW()-4)/2)+1),"0.00"))</f>
        <v/>
      </c>
      <c r="F39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39" s="22">
        <f>IF(INDEX(Positions!$B$6:$B$35,INT((ROW()-4)/2)+1)="","",IF(MOD(ROW()-4,2)=0,INDEX(Positions!$G$6:$G$35,INT((ROW()-4)/2)+1),""))</f>
        <v/>
      </c>
      <c r="H39" s="22">
        <f>IF(INDEX(Positions!$B$6:$B$35,INT((ROW()-4)/2)+1)="","",IF(MOD(ROW()-4,2)=0,INDEX(Positions!$H$6:$H$35,INT((ROW()-4)/2)+1),""))</f>
        <v/>
      </c>
      <c r="I39" s="21">
        <f>IF(INDEX(Positions!$B$6:$B$35,INT((ROW()-4)/2)+1)="","",IF(MOD(ROW()-4,2)=0,INDEX(Positions!$A$6:$A$35,INT((ROW()-4)/2)+1),INDEX(Positions!$I$6:$I$35,INT((ROW()-4)/2)+1)))</f>
        <v/>
      </c>
      <c r="J39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39" s="22">
        <f>IF(INDEX(Positions!$B$6:$B$35,INT((ROW()-4)/2)+1)="","",IF(MOD(ROW()-4,2)=0,INDEX(Positions!$V$6:$V$35,INT((ROW()-4)/2)+1),INDEX(Positions!$W$6:$W$35,INT((ROW()-4)/2)+1)))</f>
        <v/>
      </c>
    </row>
    <row r="40">
      <c r="A40" s="21">
        <f>IF(INDEX(Positions!$B$6:$B$35,INT((ROW()-4)/2)+1)="","",IF(MOD(ROW()-4,2)=0,INDEX(Positions!$A$6:$A$35,INT((ROW()-4)/2)+1),INDEX(Positions!$I$6:$I$35,INT((ROW()-4)/2)+1)))</f>
        <v/>
      </c>
      <c r="B40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0" s="22">
        <f>IF(INDEX(Positions!$B$6:$B$35,INT((ROW()-4)/2)+1)="","",INDEX(Positions!$C$6:$C$35,INT((ROW()-4)/2)+1))</f>
        <v/>
      </c>
      <c r="D40" s="22">
        <f>IF(INDEX(Positions!$B$6:$B$35,INT((ROW()-4)/2)+1)="","",IF(MOD(ROW()-4,2)=0,INDEX(Positions!$D$6:$D$35,INT((ROW()-4)/2)+1),IF(INDEX(Positions!$D$6:$D$35,INT((ROW()-4)/2)+1)="buy","sell","buy")))</f>
        <v/>
      </c>
      <c r="E40" s="22">
        <f>IF(INDEX(Positions!$B$6:$B$35,INT((ROW()-4)/2)+1)="","",TEXT(INDEX(Positions!$E$6:$E$35,INT((ROW()-4)/2)+1),"0.00")&amp;" / "&amp;TEXT(INDEX(Positions!$E$6:$E$35,INT((ROW()-4)/2)+1),"0.00"))</f>
        <v/>
      </c>
      <c r="F40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0" s="22">
        <f>IF(INDEX(Positions!$B$6:$B$35,INT((ROW()-4)/2)+1)="","",IF(MOD(ROW()-4,2)=0,INDEX(Positions!$G$6:$G$35,INT((ROW()-4)/2)+1),""))</f>
        <v/>
      </c>
      <c r="H40" s="22">
        <f>IF(INDEX(Positions!$B$6:$B$35,INT((ROW()-4)/2)+1)="","",IF(MOD(ROW()-4,2)=0,INDEX(Positions!$H$6:$H$35,INT((ROW()-4)/2)+1),""))</f>
        <v/>
      </c>
      <c r="I40" s="21">
        <f>IF(INDEX(Positions!$B$6:$B$35,INT((ROW()-4)/2)+1)="","",IF(MOD(ROW()-4,2)=0,INDEX(Positions!$A$6:$A$35,INT((ROW()-4)/2)+1),INDEX(Positions!$I$6:$I$35,INT((ROW()-4)/2)+1)))</f>
        <v/>
      </c>
      <c r="J40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0" s="22">
        <f>IF(INDEX(Positions!$B$6:$B$35,INT((ROW()-4)/2)+1)="","",IF(MOD(ROW()-4,2)=0,INDEX(Positions!$V$6:$V$35,INT((ROW()-4)/2)+1),INDEX(Positions!$W$6:$W$35,INT((ROW()-4)/2)+1)))</f>
        <v/>
      </c>
    </row>
    <row r="41">
      <c r="A41" s="21">
        <f>IF(INDEX(Positions!$B$6:$B$35,INT((ROW()-4)/2)+1)="","",IF(MOD(ROW()-4,2)=0,INDEX(Positions!$A$6:$A$35,INT((ROW()-4)/2)+1),INDEX(Positions!$I$6:$I$35,INT((ROW()-4)/2)+1)))</f>
        <v/>
      </c>
      <c r="B41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1" s="22">
        <f>IF(INDEX(Positions!$B$6:$B$35,INT((ROW()-4)/2)+1)="","",INDEX(Positions!$C$6:$C$35,INT((ROW()-4)/2)+1))</f>
        <v/>
      </c>
      <c r="D41" s="22">
        <f>IF(INDEX(Positions!$B$6:$B$35,INT((ROW()-4)/2)+1)="","",IF(MOD(ROW()-4,2)=0,INDEX(Positions!$D$6:$D$35,INT((ROW()-4)/2)+1),IF(INDEX(Positions!$D$6:$D$35,INT((ROW()-4)/2)+1)="buy","sell","buy")))</f>
        <v/>
      </c>
      <c r="E41" s="22">
        <f>IF(INDEX(Positions!$B$6:$B$35,INT((ROW()-4)/2)+1)="","",TEXT(INDEX(Positions!$E$6:$E$35,INT((ROW()-4)/2)+1),"0.00")&amp;" / "&amp;TEXT(INDEX(Positions!$E$6:$E$35,INT((ROW()-4)/2)+1),"0.00"))</f>
        <v/>
      </c>
      <c r="F41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1" s="22">
        <f>IF(INDEX(Positions!$B$6:$B$35,INT((ROW()-4)/2)+1)="","",IF(MOD(ROW()-4,2)=0,INDEX(Positions!$G$6:$G$35,INT((ROW()-4)/2)+1),""))</f>
        <v/>
      </c>
      <c r="H41" s="22">
        <f>IF(INDEX(Positions!$B$6:$B$35,INT((ROW()-4)/2)+1)="","",IF(MOD(ROW()-4,2)=0,INDEX(Positions!$H$6:$H$35,INT((ROW()-4)/2)+1),""))</f>
        <v/>
      </c>
      <c r="I41" s="21">
        <f>IF(INDEX(Positions!$B$6:$B$35,INT((ROW()-4)/2)+1)="","",IF(MOD(ROW()-4,2)=0,INDEX(Positions!$A$6:$A$35,INT((ROW()-4)/2)+1),INDEX(Positions!$I$6:$I$35,INT((ROW()-4)/2)+1)))</f>
        <v/>
      </c>
      <c r="J41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1" s="22">
        <f>IF(INDEX(Positions!$B$6:$B$35,INT((ROW()-4)/2)+1)="","",IF(MOD(ROW()-4,2)=0,INDEX(Positions!$V$6:$V$35,INT((ROW()-4)/2)+1),INDEX(Positions!$W$6:$W$35,INT((ROW()-4)/2)+1)))</f>
        <v/>
      </c>
    </row>
    <row r="42">
      <c r="A42" s="21">
        <f>IF(INDEX(Positions!$B$6:$B$35,INT((ROW()-4)/2)+1)="","",IF(MOD(ROW()-4,2)=0,INDEX(Positions!$A$6:$A$35,INT((ROW()-4)/2)+1),INDEX(Positions!$I$6:$I$35,INT((ROW()-4)/2)+1)))</f>
        <v/>
      </c>
      <c r="B42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2" s="22">
        <f>IF(INDEX(Positions!$B$6:$B$35,INT((ROW()-4)/2)+1)="","",INDEX(Positions!$C$6:$C$35,INT((ROW()-4)/2)+1))</f>
        <v/>
      </c>
      <c r="D42" s="22">
        <f>IF(INDEX(Positions!$B$6:$B$35,INT((ROW()-4)/2)+1)="","",IF(MOD(ROW()-4,2)=0,INDEX(Positions!$D$6:$D$35,INT((ROW()-4)/2)+1),IF(INDEX(Positions!$D$6:$D$35,INT((ROW()-4)/2)+1)="buy","sell","buy")))</f>
        <v/>
      </c>
      <c r="E42" s="22">
        <f>IF(INDEX(Positions!$B$6:$B$35,INT((ROW()-4)/2)+1)="","",TEXT(INDEX(Positions!$E$6:$E$35,INT((ROW()-4)/2)+1),"0.00")&amp;" / "&amp;TEXT(INDEX(Positions!$E$6:$E$35,INT((ROW()-4)/2)+1),"0.00"))</f>
        <v/>
      </c>
      <c r="F42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2" s="22">
        <f>IF(INDEX(Positions!$B$6:$B$35,INT((ROW()-4)/2)+1)="","",IF(MOD(ROW()-4,2)=0,INDEX(Positions!$G$6:$G$35,INT((ROW()-4)/2)+1),""))</f>
        <v/>
      </c>
      <c r="H42" s="22">
        <f>IF(INDEX(Positions!$B$6:$B$35,INT((ROW()-4)/2)+1)="","",IF(MOD(ROW()-4,2)=0,INDEX(Positions!$H$6:$H$35,INT((ROW()-4)/2)+1),""))</f>
        <v/>
      </c>
      <c r="I42" s="21">
        <f>IF(INDEX(Positions!$B$6:$B$35,INT((ROW()-4)/2)+1)="","",IF(MOD(ROW()-4,2)=0,INDEX(Positions!$A$6:$A$35,INT((ROW()-4)/2)+1),INDEX(Positions!$I$6:$I$35,INT((ROW()-4)/2)+1)))</f>
        <v/>
      </c>
      <c r="J42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2" s="22">
        <f>IF(INDEX(Positions!$B$6:$B$35,INT((ROW()-4)/2)+1)="","",IF(MOD(ROW()-4,2)=0,INDEX(Positions!$V$6:$V$35,INT((ROW()-4)/2)+1),INDEX(Positions!$W$6:$W$35,INT((ROW()-4)/2)+1)))</f>
        <v/>
      </c>
    </row>
    <row r="43">
      <c r="A43" s="21">
        <f>IF(INDEX(Positions!$B$6:$B$35,INT((ROW()-4)/2)+1)="","",IF(MOD(ROW()-4,2)=0,INDEX(Positions!$A$6:$A$35,INT((ROW()-4)/2)+1),INDEX(Positions!$I$6:$I$35,INT((ROW()-4)/2)+1)))</f>
        <v/>
      </c>
      <c r="B43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3" s="22">
        <f>IF(INDEX(Positions!$B$6:$B$35,INT((ROW()-4)/2)+1)="","",INDEX(Positions!$C$6:$C$35,INT((ROW()-4)/2)+1))</f>
        <v/>
      </c>
      <c r="D43" s="22">
        <f>IF(INDEX(Positions!$B$6:$B$35,INT((ROW()-4)/2)+1)="","",IF(MOD(ROW()-4,2)=0,INDEX(Positions!$D$6:$D$35,INT((ROW()-4)/2)+1),IF(INDEX(Positions!$D$6:$D$35,INT((ROW()-4)/2)+1)="buy","sell","buy")))</f>
        <v/>
      </c>
      <c r="E43" s="22">
        <f>IF(INDEX(Positions!$B$6:$B$35,INT((ROW()-4)/2)+1)="","",TEXT(INDEX(Positions!$E$6:$E$35,INT((ROW()-4)/2)+1),"0.00")&amp;" / "&amp;TEXT(INDEX(Positions!$E$6:$E$35,INT((ROW()-4)/2)+1),"0.00"))</f>
        <v/>
      </c>
      <c r="F43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3" s="22">
        <f>IF(INDEX(Positions!$B$6:$B$35,INT((ROW()-4)/2)+1)="","",IF(MOD(ROW()-4,2)=0,INDEX(Positions!$G$6:$G$35,INT((ROW()-4)/2)+1),""))</f>
        <v/>
      </c>
      <c r="H43" s="22">
        <f>IF(INDEX(Positions!$B$6:$B$35,INT((ROW()-4)/2)+1)="","",IF(MOD(ROW()-4,2)=0,INDEX(Positions!$H$6:$H$35,INT((ROW()-4)/2)+1),""))</f>
        <v/>
      </c>
      <c r="I43" s="21">
        <f>IF(INDEX(Positions!$B$6:$B$35,INT((ROW()-4)/2)+1)="","",IF(MOD(ROW()-4,2)=0,INDEX(Positions!$A$6:$A$35,INT((ROW()-4)/2)+1),INDEX(Positions!$I$6:$I$35,INT((ROW()-4)/2)+1)))</f>
        <v/>
      </c>
      <c r="J43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3" s="22">
        <f>IF(INDEX(Positions!$B$6:$B$35,INT((ROW()-4)/2)+1)="","",IF(MOD(ROW()-4,2)=0,INDEX(Positions!$V$6:$V$35,INT((ROW()-4)/2)+1),INDEX(Positions!$W$6:$W$35,INT((ROW()-4)/2)+1)))</f>
        <v/>
      </c>
    </row>
    <row r="44">
      <c r="A44" s="21">
        <f>IF(INDEX(Positions!$B$6:$B$35,INT((ROW()-4)/2)+1)="","",IF(MOD(ROW()-4,2)=0,INDEX(Positions!$A$6:$A$35,INT((ROW()-4)/2)+1),INDEX(Positions!$I$6:$I$35,INT((ROW()-4)/2)+1)))</f>
        <v/>
      </c>
      <c r="B44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4" s="22">
        <f>IF(INDEX(Positions!$B$6:$B$35,INT((ROW()-4)/2)+1)="","",INDEX(Positions!$C$6:$C$35,INT((ROW()-4)/2)+1))</f>
        <v/>
      </c>
      <c r="D44" s="22">
        <f>IF(INDEX(Positions!$B$6:$B$35,INT((ROW()-4)/2)+1)="","",IF(MOD(ROW()-4,2)=0,INDEX(Positions!$D$6:$D$35,INT((ROW()-4)/2)+1),IF(INDEX(Positions!$D$6:$D$35,INT((ROW()-4)/2)+1)="buy","sell","buy")))</f>
        <v/>
      </c>
      <c r="E44" s="22">
        <f>IF(INDEX(Positions!$B$6:$B$35,INT((ROW()-4)/2)+1)="","",TEXT(INDEX(Positions!$E$6:$E$35,INT((ROW()-4)/2)+1),"0.00")&amp;" / "&amp;TEXT(INDEX(Positions!$E$6:$E$35,INT((ROW()-4)/2)+1),"0.00"))</f>
        <v/>
      </c>
      <c r="F44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4" s="22">
        <f>IF(INDEX(Positions!$B$6:$B$35,INT((ROW()-4)/2)+1)="","",IF(MOD(ROW()-4,2)=0,INDEX(Positions!$G$6:$G$35,INT((ROW()-4)/2)+1),""))</f>
        <v/>
      </c>
      <c r="H44" s="22">
        <f>IF(INDEX(Positions!$B$6:$B$35,INT((ROW()-4)/2)+1)="","",IF(MOD(ROW()-4,2)=0,INDEX(Positions!$H$6:$H$35,INT((ROW()-4)/2)+1),""))</f>
        <v/>
      </c>
      <c r="I44" s="21">
        <f>IF(INDEX(Positions!$B$6:$B$35,INT((ROW()-4)/2)+1)="","",IF(MOD(ROW()-4,2)=0,INDEX(Positions!$A$6:$A$35,INT((ROW()-4)/2)+1),INDEX(Positions!$I$6:$I$35,INT((ROW()-4)/2)+1)))</f>
        <v/>
      </c>
      <c r="J44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4" s="22">
        <f>IF(INDEX(Positions!$B$6:$B$35,INT((ROW()-4)/2)+1)="","",IF(MOD(ROW()-4,2)=0,INDEX(Positions!$V$6:$V$35,INT((ROW()-4)/2)+1),INDEX(Positions!$W$6:$W$35,INT((ROW()-4)/2)+1)))</f>
        <v/>
      </c>
    </row>
    <row r="45">
      <c r="A45" s="21">
        <f>IF(INDEX(Positions!$B$6:$B$35,INT((ROW()-4)/2)+1)="","",IF(MOD(ROW()-4,2)=0,INDEX(Positions!$A$6:$A$35,INT((ROW()-4)/2)+1),INDEX(Positions!$I$6:$I$35,INT((ROW()-4)/2)+1)))</f>
        <v/>
      </c>
      <c r="B45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5" s="22">
        <f>IF(INDEX(Positions!$B$6:$B$35,INT((ROW()-4)/2)+1)="","",INDEX(Positions!$C$6:$C$35,INT((ROW()-4)/2)+1))</f>
        <v/>
      </c>
      <c r="D45" s="22">
        <f>IF(INDEX(Positions!$B$6:$B$35,INT((ROW()-4)/2)+1)="","",IF(MOD(ROW()-4,2)=0,INDEX(Positions!$D$6:$D$35,INT((ROW()-4)/2)+1),IF(INDEX(Positions!$D$6:$D$35,INT((ROW()-4)/2)+1)="buy","sell","buy")))</f>
        <v/>
      </c>
      <c r="E45" s="22">
        <f>IF(INDEX(Positions!$B$6:$B$35,INT((ROW()-4)/2)+1)="","",TEXT(INDEX(Positions!$E$6:$E$35,INT((ROW()-4)/2)+1),"0.00")&amp;" / "&amp;TEXT(INDEX(Positions!$E$6:$E$35,INT((ROW()-4)/2)+1),"0.00"))</f>
        <v/>
      </c>
      <c r="F45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5" s="22">
        <f>IF(INDEX(Positions!$B$6:$B$35,INT((ROW()-4)/2)+1)="","",IF(MOD(ROW()-4,2)=0,INDEX(Positions!$G$6:$G$35,INT((ROW()-4)/2)+1),""))</f>
        <v/>
      </c>
      <c r="H45" s="22">
        <f>IF(INDEX(Positions!$B$6:$B$35,INT((ROW()-4)/2)+1)="","",IF(MOD(ROW()-4,2)=0,INDEX(Positions!$H$6:$H$35,INT((ROW()-4)/2)+1),""))</f>
        <v/>
      </c>
      <c r="I45" s="21">
        <f>IF(INDEX(Positions!$B$6:$B$35,INT((ROW()-4)/2)+1)="","",IF(MOD(ROW()-4,2)=0,INDEX(Positions!$A$6:$A$35,INT((ROW()-4)/2)+1),INDEX(Positions!$I$6:$I$35,INT((ROW()-4)/2)+1)))</f>
        <v/>
      </c>
      <c r="J45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5" s="22">
        <f>IF(INDEX(Positions!$B$6:$B$35,INT((ROW()-4)/2)+1)="","",IF(MOD(ROW()-4,2)=0,INDEX(Positions!$V$6:$V$35,INT((ROW()-4)/2)+1),INDEX(Positions!$W$6:$W$35,INT((ROW()-4)/2)+1)))</f>
        <v/>
      </c>
    </row>
    <row r="46">
      <c r="A46" s="21">
        <f>IF(INDEX(Positions!$B$6:$B$35,INT((ROW()-4)/2)+1)="","",IF(MOD(ROW()-4,2)=0,INDEX(Positions!$A$6:$A$35,INT((ROW()-4)/2)+1),INDEX(Positions!$I$6:$I$35,INT((ROW()-4)/2)+1)))</f>
        <v/>
      </c>
      <c r="B46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6" s="22">
        <f>IF(INDEX(Positions!$B$6:$B$35,INT((ROW()-4)/2)+1)="","",INDEX(Positions!$C$6:$C$35,INT((ROW()-4)/2)+1))</f>
        <v/>
      </c>
      <c r="D46" s="22">
        <f>IF(INDEX(Positions!$B$6:$B$35,INT((ROW()-4)/2)+1)="","",IF(MOD(ROW()-4,2)=0,INDEX(Positions!$D$6:$D$35,INT((ROW()-4)/2)+1),IF(INDEX(Positions!$D$6:$D$35,INT((ROW()-4)/2)+1)="buy","sell","buy")))</f>
        <v/>
      </c>
      <c r="E46" s="22">
        <f>IF(INDEX(Positions!$B$6:$B$35,INT((ROW()-4)/2)+1)="","",TEXT(INDEX(Positions!$E$6:$E$35,INT((ROW()-4)/2)+1),"0.00")&amp;" / "&amp;TEXT(INDEX(Positions!$E$6:$E$35,INT((ROW()-4)/2)+1),"0.00"))</f>
        <v/>
      </c>
      <c r="F46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6" s="22">
        <f>IF(INDEX(Positions!$B$6:$B$35,INT((ROW()-4)/2)+1)="","",IF(MOD(ROW()-4,2)=0,INDEX(Positions!$G$6:$G$35,INT((ROW()-4)/2)+1),""))</f>
        <v/>
      </c>
      <c r="H46" s="22">
        <f>IF(INDEX(Positions!$B$6:$B$35,INT((ROW()-4)/2)+1)="","",IF(MOD(ROW()-4,2)=0,INDEX(Positions!$H$6:$H$35,INT((ROW()-4)/2)+1),""))</f>
        <v/>
      </c>
      <c r="I46" s="21">
        <f>IF(INDEX(Positions!$B$6:$B$35,INT((ROW()-4)/2)+1)="","",IF(MOD(ROW()-4,2)=0,INDEX(Positions!$A$6:$A$35,INT((ROW()-4)/2)+1),INDEX(Positions!$I$6:$I$35,INT((ROW()-4)/2)+1)))</f>
        <v/>
      </c>
      <c r="J46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6" s="22">
        <f>IF(INDEX(Positions!$B$6:$B$35,INT((ROW()-4)/2)+1)="","",IF(MOD(ROW()-4,2)=0,INDEX(Positions!$V$6:$V$35,INT((ROW()-4)/2)+1),INDEX(Positions!$W$6:$W$35,INT((ROW()-4)/2)+1)))</f>
        <v/>
      </c>
    </row>
    <row r="47">
      <c r="A47" s="21">
        <f>IF(INDEX(Positions!$B$6:$B$35,INT((ROW()-4)/2)+1)="","",IF(MOD(ROW()-4,2)=0,INDEX(Positions!$A$6:$A$35,INT((ROW()-4)/2)+1),INDEX(Positions!$I$6:$I$35,INT((ROW()-4)/2)+1)))</f>
        <v/>
      </c>
      <c r="B47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7" s="22">
        <f>IF(INDEX(Positions!$B$6:$B$35,INT((ROW()-4)/2)+1)="","",INDEX(Positions!$C$6:$C$35,INT((ROW()-4)/2)+1))</f>
        <v/>
      </c>
      <c r="D47" s="22">
        <f>IF(INDEX(Positions!$B$6:$B$35,INT((ROW()-4)/2)+1)="","",IF(MOD(ROW()-4,2)=0,INDEX(Positions!$D$6:$D$35,INT((ROW()-4)/2)+1),IF(INDEX(Positions!$D$6:$D$35,INT((ROW()-4)/2)+1)="buy","sell","buy")))</f>
        <v/>
      </c>
      <c r="E47" s="22">
        <f>IF(INDEX(Positions!$B$6:$B$35,INT((ROW()-4)/2)+1)="","",TEXT(INDEX(Positions!$E$6:$E$35,INT((ROW()-4)/2)+1),"0.00")&amp;" / "&amp;TEXT(INDEX(Positions!$E$6:$E$35,INT((ROW()-4)/2)+1),"0.00"))</f>
        <v/>
      </c>
      <c r="F47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7" s="22">
        <f>IF(INDEX(Positions!$B$6:$B$35,INT((ROW()-4)/2)+1)="","",IF(MOD(ROW()-4,2)=0,INDEX(Positions!$G$6:$G$35,INT((ROW()-4)/2)+1),""))</f>
        <v/>
      </c>
      <c r="H47" s="22">
        <f>IF(INDEX(Positions!$B$6:$B$35,INT((ROW()-4)/2)+1)="","",IF(MOD(ROW()-4,2)=0,INDEX(Positions!$H$6:$H$35,INT((ROW()-4)/2)+1),""))</f>
        <v/>
      </c>
      <c r="I47" s="21">
        <f>IF(INDEX(Positions!$B$6:$B$35,INT((ROW()-4)/2)+1)="","",IF(MOD(ROW()-4,2)=0,INDEX(Positions!$A$6:$A$35,INT((ROW()-4)/2)+1),INDEX(Positions!$I$6:$I$35,INT((ROW()-4)/2)+1)))</f>
        <v/>
      </c>
      <c r="J47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7" s="22">
        <f>IF(INDEX(Positions!$B$6:$B$35,INT((ROW()-4)/2)+1)="","",IF(MOD(ROW()-4,2)=0,INDEX(Positions!$V$6:$V$35,INT((ROW()-4)/2)+1),INDEX(Positions!$W$6:$W$35,INT((ROW()-4)/2)+1)))</f>
        <v/>
      </c>
    </row>
    <row r="48">
      <c r="A48" s="21">
        <f>IF(INDEX(Positions!$B$6:$B$35,INT((ROW()-4)/2)+1)="","",IF(MOD(ROW()-4,2)=0,INDEX(Positions!$A$6:$A$35,INT((ROW()-4)/2)+1),INDEX(Positions!$I$6:$I$35,INT((ROW()-4)/2)+1)))</f>
        <v/>
      </c>
      <c r="B48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8" s="22">
        <f>IF(INDEX(Positions!$B$6:$B$35,INT((ROW()-4)/2)+1)="","",INDEX(Positions!$C$6:$C$35,INT((ROW()-4)/2)+1))</f>
        <v/>
      </c>
      <c r="D48" s="22">
        <f>IF(INDEX(Positions!$B$6:$B$35,INT((ROW()-4)/2)+1)="","",IF(MOD(ROW()-4,2)=0,INDEX(Positions!$D$6:$D$35,INT((ROW()-4)/2)+1),IF(INDEX(Positions!$D$6:$D$35,INT((ROW()-4)/2)+1)="buy","sell","buy")))</f>
        <v/>
      </c>
      <c r="E48" s="22">
        <f>IF(INDEX(Positions!$B$6:$B$35,INT((ROW()-4)/2)+1)="","",TEXT(INDEX(Positions!$E$6:$E$35,INT((ROW()-4)/2)+1),"0.00")&amp;" / "&amp;TEXT(INDEX(Positions!$E$6:$E$35,INT((ROW()-4)/2)+1),"0.00"))</f>
        <v/>
      </c>
      <c r="F48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8" s="22">
        <f>IF(INDEX(Positions!$B$6:$B$35,INT((ROW()-4)/2)+1)="","",IF(MOD(ROW()-4,2)=0,INDEX(Positions!$G$6:$G$35,INT((ROW()-4)/2)+1),""))</f>
        <v/>
      </c>
      <c r="H48" s="22">
        <f>IF(INDEX(Positions!$B$6:$B$35,INT((ROW()-4)/2)+1)="","",IF(MOD(ROW()-4,2)=0,INDEX(Positions!$H$6:$H$35,INT((ROW()-4)/2)+1),""))</f>
        <v/>
      </c>
      <c r="I48" s="21">
        <f>IF(INDEX(Positions!$B$6:$B$35,INT((ROW()-4)/2)+1)="","",IF(MOD(ROW()-4,2)=0,INDEX(Positions!$A$6:$A$35,INT((ROW()-4)/2)+1),INDEX(Positions!$I$6:$I$35,INT((ROW()-4)/2)+1)))</f>
        <v/>
      </c>
      <c r="J48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8" s="22">
        <f>IF(INDEX(Positions!$B$6:$B$35,INT((ROW()-4)/2)+1)="","",IF(MOD(ROW()-4,2)=0,INDEX(Positions!$V$6:$V$35,INT((ROW()-4)/2)+1),INDEX(Positions!$W$6:$W$35,INT((ROW()-4)/2)+1)))</f>
        <v/>
      </c>
    </row>
    <row r="49">
      <c r="A49" s="21">
        <f>IF(INDEX(Positions!$B$6:$B$35,INT((ROW()-4)/2)+1)="","",IF(MOD(ROW()-4,2)=0,INDEX(Positions!$A$6:$A$35,INT((ROW()-4)/2)+1),INDEX(Positions!$I$6:$I$35,INT((ROW()-4)/2)+1)))</f>
        <v/>
      </c>
      <c r="B49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49" s="22">
        <f>IF(INDEX(Positions!$B$6:$B$35,INT((ROW()-4)/2)+1)="","",INDEX(Positions!$C$6:$C$35,INT((ROW()-4)/2)+1))</f>
        <v/>
      </c>
      <c r="D49" s="22">
        <f>IF(INDEX(Positions!$B$6:$B$35,INT((ROW()-4)/2)+1)="","",IF(MOD(ROW()-4,2)=0,INDEX(Positions!$D$6:$D$35,INT((ROW()-4)/2)+1),IF(INDEX(Positions!$D$6:$D$35,INT((ROW()-4)/2)+1)="buy","sell","buy")))</f>
        <v/>
      </c>
      <c r="E49" s="22">
        <f>IF(INDEX(Positions!$B$6:$B$35,INT((ROW()-4)/2)+1)="","",TEXT(INDEX(Positions!$E$6:$E$35,INT((ROW()-4)/2)+1),"0.00")&amp;" / "&amp;TEXT(INDEX(Positions!$E$6:$E$35,INT((ROW()-4)/2)+1),"0.00"))</f>
        <v/>
      </c>
      <c r="F49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49" s="22">
        <f>IF(INDEX(Positions!$B$6:$B$35,INT((ROW()-4)/2)+1)="","",IF(MOD(ROW()-4,2)=0,INDEX(Positions!$G$6:$G$35,INT((ROW()-4)/2)+1),""))</f>
        <v/>
      </c>
      <c r="H49" s="22">
        <f>IF(INDEX(Positions!$B$6:$B$35,INT((ROW()-4)/2)+1)="","",IF(MOD(ROW()-4,2)=0,INDEX(Positions!$H$6:$H$35,INT((ROW()-4)/2)+1),""))</f>
        <v/>
      </c>
      <c r="I49" s="21">
        <f>IF(INDEX(Positions!$B$6:$B$35,INT((ROW()-4)/2)+1)="","",IF(MOD(ROW()-4,2)=0,INDEX(Positions!$A$6:$A$35,INT((ROW()-4)/2)+1),INDEX(Positions!$I$6:$I$35,INT((ROW()-4)/2)+1)))</f>
        <v/>
      </c>
      <c r="J49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49" s="22">
        <f>IF(INDEX(Positions!$B$6:$B$35,INT((ROW()-4)/2)+1)="","",IF(MOD(ROW()-4,2)=0,INDEX(Positions!$V$6:$V$35,INT((ROW()-4)/2)+1),INDEX(Positions!$W$6:$W$35,INT((ROW()-4)/2)+1)))</f>
        <v/>
      </c>
    </row>
    <row r="50">
      <c r="A50" s="21">
        <f>IF(INDEX(Positions!$B$6:$B$35,INT((ROW()-4)/2)+1)="","",IF(MOD(ROW()-4,2)=0,INDEX(Positions!$A$6:$A$35,INT((ROW()-4)/2)+1),INDEX(Positions!$I$6:$I$35,INT((ROW()-4)/2)+1)))</f>
        <v/>
      </c>
      <c r="B50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0" s="22">
        <f>IF(INDEX(Positions!$B$6:$B$35,INT((ROW()-4)/2)+1)="","",INDEX(Positions!$C$6:$C$35,INT((ROW()-4)/2)+1))</f>
        <v/>
      </c>
      <c r="D50" s="22">
        <f>IF(INDEX(Positions!$B$6:$B$35,INT((ROW()-4)/2)+1)="","",IF(MOD(ROW()-4,2)=0,INDEX(Positions!$D$6:$D$35,INT((ROW()-4)/2)+1),IF(INDEX(Positions!$D$6:$D$35,INT((ROW()-4)/2)+1)="buy","sell","buy")))</f>
        <v/>
      </c>
      <c r="E50" s="22">
        <f>IF(INDEX(Positions!$B$6:$B$35,INT((ROW()-4)/2)+1)="","",TEXT(INDEX(Positions!$E$6:$E$35,INT((ROW()-4)/2)+1),"0.00")&amp;" / "&amp;TEXT(INDEX(Positions!$E$6:$E$35,INT((ROW()-4)/2)+1),"0.00"))</f>
        <v/>
      </c>
      <c r="F50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0" s="22">
        <f>IF(INDEX(Positions!$B$6:$B$35,INT((ROW()-4)/2)+1)="","",IF(MOD(ROW()-4,2)=0,INDEX(Positions!$G$6:$G$35,INT((ROW()-4)/2)+1),""))</f>
        <v/>
      </c>
      <c r="H50" s="22">
        <f>IF(INDEX(Positions!$B$6:$B$35,INT((ROW()-4)/2)+1)="","",IF(MOD(ROW()-4,2)=0,INDEX(Positions!$H$6:$H$35,INT((ROW()-4)/2)+1),""))</f>
        <v/>
      </c>
      <c r="I50" s="21">
        <f>IF(INDEX(Positions!$B$6:$B$35,INT((ROW()-4)/2)+1)="","",IF(MOD(ROW()-4,2)=0,INDEX(Positions!$A$6:$A$35,INT((ROW()-4)/2)+1),INDEX(Positions!$I$6:$I$35,INT((ROW()-4)/2)+1)))</f>
        <v/>
      </c>
      <c r="J50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0" s="22">
        <f>IF(INDEX(Positions!$B$6:$B$35,INT((ROW()-4)/2)+1)="","",IF(MOD(ROW()-4,2)=0,INDEX(Positions!$V$6:$V$35,INT((ROW()-4)/2)+1),INDEX(Positions!$W$6:$W$35,INT((ROW()-4)/2)+1)))</f>
        <v/>
      </c>
    </row>
    <row r="51">
      <c r="A51" s="21">
        <f>IF(INDEX(Positions!$B$6:$B$35,INT((ROW()-4)/2)+1)="","",IF(MOD(ROW()-4,2)=0,INDEX(Positions!$A$6:$A$35,INT((ROW()-4)/2)+1),INDEX(Positions!$I$6:$I$35,INT((ROW()-4)/2)+1)))</f>
        <v/>
      </c>
      <c r="B51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1" s="22">
        <f>IF(INDEX(Positions!$B$6:$B$35,INT((ROW()-4)/2)+1)="","",INDEX(Positions!$C$6:$C$35,INT((ROW()-4)/2)+1))</f>
        <v/>
      </c>
      <c r="D51" s="22">
        <f>IF(INDEX(Positions!$B$6:$B$35,INT((ROW()-4)/2)+1)="","",IF(MOD(ROW()-4,2)=0,INDEX(Positions!$D$6:$D$35,INT((ROW()-4)/2)+1),IF(INDEX(Positions!$D$6:$D$35,INT((ROW()-4)/2)+1)="buy","sell","buy")))</f>
        <v/>
      </c>
      <c r="E51" s="22">
        <f>IF(INDEX(Positions!$B$6:$B$35,INT((ROW()-4)/2)+1)="","",TEXT(INDEX(Positions!$E$6:$E$35,INT((ROW()-4)/2)+1),"0.00")&amp;" / "&amp;TEXT(INDEX(Positions!$E$6:$E$35,INT((ROW()-4)/2)+1),"0.00"))</f>
        <v/>
      </c>
      <c r="F51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1" s="22">
        <f>IF(INDEX(Positions!$B$6:$B$35,INT((ROW()-4)/2)+1)="","",IF(MOD(ROW()-4,2)=0,INDEX(Positions!$G$6:$G$35,INT((ROW()-4)/2)+1),""))</f>
        <v/>
      </c>
      <c r="H51" s="22">
        <f>IF(INDEX(Positions!$B$6:$B$35,INT((ROW()-4)/2)+1)="","",IF(MOD(ROW()-4,2)=0,INDEX(Positions!$H$6:$H$35,INT((ROW()-4)/2)+1),""))</f>
        <v/>
      </c>
      <c r="I51" s="21">
        <f>IF(INDEX(Positions!$B$6:$B$35,INT((ROW()-4)/2)+1)="","",IF(MOD(ROW()-4,2)=0,INDEX(Positions!$A$6:$A$35,INT((ROW()-4)/2)+1),INDEX(Positions!$I$6:$I$35,INT((ROW()-4)/2)+1)))</f>
        <v/>
      </c>
      <c r="J51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1" s="22">
        <f>IF(INDEX(Positions!$B$6:$B$35,INT((ROW()-4)/2)+1)="","",IF(MOD(ROW()-4,2)=0,INDEX(Positions!$V$6:$V$35,INT((ROW()-4)/2)+1),INDEX(Positions!$W$6:$W$35,INT((ROW()-4)/2)+1)))</f>
        <v/>
      </c>
    </row>
    <row r="52">
      <c r="A52" s="21">
        <f>IF(INDEX(Positions!$B$6:$B$35,INT((ROW()-4)/2)+1)="","",IF(MOD(ROW()-4,2)=0,INDEX(Positions!$A$6:$A$35,INT((ROW()-4)/2)+1),INDEX(Positions!$I$6:$I$35,INT((ROW()-4)/2)+1)))</f>
        <v/>
      </c>
      <c r="B52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2" s="22">
        <f>IF(INDEX(Positions!$B$6:$B$35,INT((ROW()-4)/2)+1)="","",INDEX(Positions!$C$6:$C$35,INT((ROW()-4)/2)+1))</f>
        <v/>
      </c>
      <c r="D52" s="22">
        <f>IF(INDEX(Positions!$B$6:$B$35,INT((ROW()-4)/2)+1)="","",IF(MOD(ROW()-4,2)=0,INDEX(Positions!$D$6:$D$35,INT((ROW()-4)/2)+1),IF(INDEX(Positions!$D$6:$D$35,INT((ROW()-4)/2)+1)="buy","sell","buy")))</f>
        <v/>
      </c>
      <c r="E52" s="22">
        <f>IF(INDEX(Positions!$B$6:$B$35,INT((ROW()-4)/2)+1)="","",TEXT(INDEX(Positions!$E$6:$E$35,INT((ROW()-4)/2)+1),"0.00")&amp;" / "&amp;TEXT(INDEX(Positions!$E$6:$E$35,INT((ROW()-4)/2)+1),"0.00"))</f>
        <v/>
      </c>
      <c r="F52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2" s="22">
        <f>IF(INDEX(Positions!$B$6:$B$35,INT((ROW()-4)/2)+1)="","",IF(MOD(ROW()-4,2)=0,INDEX(Positions!$G$6:$G$35,INT((ROW()-4)/2)+1),""))</f>
        <v/>
      </c>
      <c r="H52" s="22">
        <f>IF(INDEX(Positions!$B$6:$B$35,INT((ROW()-4)/2)+1)="","",IF(MOD(ROW()-4,2)=0,INDEX(Positions!$H$6:$H$35,INT((ROW()-4)/2)+1),""))</f>
        <v/>
      </c>
      <c r="I52" s="21">
        <f>IF(INDEX(Positions!$B$6:$B$35,INT((ROW()-4)/2)+1)="","",IF(MOD(ROW()-4,2)=0,INDEX(Positions!$A$6:$A$35,INT((ROW()-4)/2)+1),INDEX(Positions!$I$6:$I$35,INT((ROW()-4)/2)+1)))</f>
        <v/>
      </c>
      <c r="J52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2" s="22">
        <f>IF(INDEX(Positions!$B$6:$B$35,INT((ROW()-4)/2)+1)="","",IF(MOD(ROW()-4,2)=0,INDEX(Positions!$V$6:$V$35,INT((ROW()-4)/2)+1),INDEX(Positions!$W$6:$W$35,INT((ROW()-4)/2)+1)))</f>
        <v/>
      </c>
    </row>
    <row r="53">
      <c r="A53" s="21">
        <f>IF(INDEX(Positions!$B$6:$B$35,INT((ROW()-4)/2)+1)="","",IF(MOD(ROW()-4,2)=0,INDEX(Positions!$A$6:$A$35,INT((ROW()-4)/2)+1),INDEX(Positions!$I$6:$I$35,INT((ROW()-4)/2)+1)))</f>
        <v/>
      </c>
      <c r="B53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3" s="22">
        <f>IF(INDEX(Positions!$B$6:$B$35,INT((ROW()-4)/2)+1)="","",INDEX(Positions!$C$6:$C$35,INT((ROW()-4)/2)+1))</f>
        <v/>
      </c>
      <c r="D53" s="22">
        <f>IF(INDEX(Positions!$B$6:$B$35,INT((ROW()-4)/2)+1)="","",IF(MOD(ROW()-4,2)=0,INDEX(Positions!$D$6:$D$35,INT((ROW()-4)/2)+1),IF(INDEX(Positions!$D$6:$D$35,INT((ROW()-4)/2)+1)="buy","sell","buy")))</f>
        <v/>
      </c>
      <c r="E53" s="22">
        <f>IF(INDEX(Positions!$B$6:$B$35,INT((ROW()-4)/2)+1)="","",TEXT(INDEX(Positions!$E$6:$E$35,INT((ROW()-4)/2)+1),"0.00")&amp;" / "&amp;TEXT(INDEX(Positions!$E$6:$E$35,INT((ROW()-4)/2)+1),"0.00"))</f>
        <v/>
      </c>
      <c r="F53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3" s="22">
        <f>IF(INDEX(Positions!$B$6:$B$35,INT((ROW()-4)/2)+1)="","",IF(MOD(ROW()-4,2)=0,INDEX(Positions!$G$6:$G$35,INT((ROW()-4)/2)+1),""))</f>
        <v/>
      </c>
      <c r="H53" s="22">
        <f>IF(INDEX(Positions!$B$6:$B$35,INT((ROW()-4)/2)+1)="","",IF(MOD(ROW()-4,2)=0,INDEX(Positions!$H$6:$H$35,INT((ROW()-4)/2)+1),""))</f>
        <v/>
      </c>
      <c r="I53" s="21">
        <f>IF(INDEX(Positions!$B$6:$B$35,INT((ROW()-4)/2)+1)="","",IF(MOD(ROW()-4,2)=0,INDEX(Positions!$A$6:$A$35,INT((ROW()-4)/2)+1),INDEX(Positions!$I$6:$I$35,INT((ROW()-4)/2)+1)))</f>
        <v/>
      </c>
      <c r="J53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3" s="22">
        <f>IF(INDEX(Positions!$B$6:$B$35,INT((ROW()-4)/2)+1)="","",IF(MOD(ROW()-4,2)=0,INDEX(Positions!$V$6:$V$35,INT((ROW()-4)/2)+1),INDEX(Positions!$W$6:$W$35,INT((ROW()-4)/2)+1)))</f>
        <v/>
      </c>
    </row>
    <row r="54">
      <c r="A54" s="21">
        <f>IF(INDEX(Positions!$B$6:$B$35,INT((ROW()-4)/2)+1)="","",IF(MOD(ROW()-4,2)=0,INDEX(Positions!$A$6:$A$35,INT((ROW()-4)/2)+1),INDEX(Positions!$I$6:$I$35,INT((ROW()-4)/2)+1)))</f>
        <v/>
      </c>
      <c r="B54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4" s="22">
        <f>IF(INDEX(Positions!$B$6:$B$35,INT((ROW()-4)/2)+1)="","",INDEX(Positions!$C$6:$C$35,INT((ROW()-4)/2)+1))</f>
        <v/>
      </c>
      <c r="D54" s="22">
        <f>IF(INDEX(Positions!$B$6:$B$35,INT((ROW()-4)/2)+1)="","",IF(MOD(ROW()-4,2)=0,INDEX(Positions!$D$6:$D$35,INT((ROW()-4)/2)+1),IF(INDEX(Positions!$D$6:$D$35,INT((ROW()-4)/2)+1)="buy","sell","buy")))</f>
        <v/>
      </c>
      <c r="E54" s="22">
        <f>IF(INDEX(Positions!$B$6:$B$35,INT((ROW()-4)/2)+1)="","",TEXT(INDEX(Positions!$E$6:$E$35,INT((ROW()-4)/2)+1),"0.00")&amp;" / "&amp;TEXT(INDEX(Positions!$E$6:$E$35,INT((ROW()-4)/2)+1),"0.00"))</f>
        <v/>
      </c>
      <c r="F54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4" s="22">
        <f>IF(INDEX(Positions!$B$6:$B$35,INT((ROW()-4)/2)+1)="","",IF(MOD(ROW()-4,2)=0,INDEX(Positions!$G$6:$G$35,INT((ROW()-4)/2)+1),""))</f>
        <v/>
      </c>
      <c r="H54" s="22">
        <f>IF(INDEX(Positions!$B$6:$B$35,INT((ROW()-4)/2)+1)="","",IF(MOD(ROW()-4,2)=0,INDEX(Positions!$H$6:$H$35,INT((ROW()-4)/2)+1),""))</f>
        <v/>
      </c>
      <c r="I54" s="21">
        <f>IF(INDEX(Positions!$B$6:$B$35,INT((ROW()-4)/2)+1)="","",IF(MOD(ROW()-4,2)=0,INDEX(Positions!$A$6:$A$35,INT((ROW()-4)/2)+1),INDEX(Positions!$I$6:$I$35,INT((ROW()-4)/2)+1)))</f>
        <v/>
      </c>
      <c r="J54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4" s="22">
        <f>IF(INDEX(Positions!$B$6:$B$35,INT((ROW()-4)/2)+1)="","",IF(MOD(ROW()-4,2)=0,INDEX(Positions!$V$6:$V$35,INT((ROW()-4)/2)+1),INDEX(Positions!$W$6:$W$35,INT((ROW()-4)/2)+1)))</f>
        <v/>
      </c>
    </row>
    <row r="55">
      <c r="A55" s="21">
        <f>IF(INDEX(Positions!$B$6:$B$35,INT((ROW()-4)/2)+1)="","",IF(MOD(ROW()-4,2)=0,INDEX(Positions!$A$6:$A$35,INT((ROW()-4)/2)+1),INDEX(Positions!$I$6:$I$35,INT((ROW()-4)/2)+1)))</f>
        <v/>
      </c>
      <c r="B55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5" s="22">
        <f>IF(INDEX(Positions!$B$6:$B$35,INT((ROW()-4)/2)+1)="","",INDEX(Positions!$C$6:$C$35,INT((ROW()-4)/2)+1))</f>
        <v/>
      </c>
      <c r="D55" s="22">
        <f>IF(INDEX(Positions!$B$6:$B$35,INT((ROW()-4)/2)+1)="","",IF(MOD(ROW()-4,2)=0,INDEX(Positions!$D$6:$D$35,INT((ROW()-4)/2)+1),IF(INDEX(Positions!$D$6:$D$35,INT((ROW()-4)/2)+1)="buy","sell","buy")))</f>
        <v/>
      </c>
      <c r="E55" s="22">
        <f>IF(INDEX(Positions!$B$6:$B$35,INT((ROW()-4)/2)+1)="","",TEXT(INDEX(Positions!$E$6:$E$35,INT((ROW()-4)/2)+1),"0.00")&amp;" / "&amp;TEXT(INDEX(Positions!$E$6:$E$35,INT((ROW()-4)/2)+1),"0.00"))</f>
        <v/>
      </c>
      <c r="F55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5" s="22">
        <f>IF(INDEX(Positions!$B$6:$B$35,INT((ROW()-4)/2)+1)="","",IF(MOD(ROW()-4,2)=0,INDEX(Positions!$G$6:$G$35,INT((ROW()-4)/2)+1),""))</f>
        <v/>
      </c>
      <c r="H55" s="22">
        <f>IF(INDEX(Positions!$B$6:$B$35,INT((ROW()-4)/2)+1)="","",IF(MOD(ROW()-4,2)=0,INDEX(Positions!$H$6:$H$35,INT((ROW()-4)/2)+1),""))</f>
        <v/>
      </c>
      <c r="I55" s="21">
        <f>IF(INDEX(Positions!$B$6:$B$35,INT((ROW()-4)/2)+1)="","",IF(MOD(ROW()-4,2)=0,INDEX(Positions!$A$6:$A$35,INT((ROW()-4)/2)+1),INDEX(Positions!$I$6:$I$35,INT((ROW()-4)/2)+1)))</f>
        <v/>
      </c>
      <c r="J55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5" s="22">
        <f>IF(INDEX(Positions!$B$6:$B$35,INT((ROW()-4)/2)+1)="","",IF(MOD(ROW()-4,2)=0,INDEX(Positions!$V$6:$V$35,INT((ROW()-4)/2)+1),INDEX(Positions!$W$6:$W$35,INT((ROW()-4)/2)+1)))</f>
        <v/>
      </c>
    </row>
    <row r="56">
      <c r="A56" s="21">
        <f>IF(INDEX(Positions!$B$6:$B$35,INT((ROW()-4)/2)+1)="","",IF(MOD(ROW()-4,2)=0,INDEX(Positions!$A$6:$A$35,INT((ROW()-4)/2)+1),INDEX(Positions!$I$6:$I$35,INT((ROW()-4)/2)+1)))</f>
        <v/>
      </c>
      <c r="B56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6" s="22">
        <f>IF(INDEX(Positions!$B$6:$B$35,INT((ROW()-4)/2)+1)="","",INDEX(Positions!$C$6:$C$35,INT((ROW()-4)/2)+1))</f>
        <v/>
      </c>
      <c r="D56" s="22">
        <f>IF(INDEX(Positions!$B$6:$B$35,INT((ROW()-4)/2)+1)="","",IF(MOD(ROW()-4,2)=0,INDEX(Positions!$D$6:$D$35,INT((ROW()-4)/2)+1),IF(INDEX(Positions!$D$6:$D$35,INT((ROW()-4)/2)+1)="buy","sell","buy")))</f>
        <v/>
      </c>
      <c r="E56" s="22">
        <f>IF(INDEX(Positions!$B$6:$B$35,INT((ROW()-4)/2)+1)="","",TEXT(INDEX(Positions!$E$6:$E$35,INT((ROW()-4)/2)+1),"0.00")&amp;" / "&amp;TEXT(INDEX(Positions!$E$6:$E$35,INT((ROW()-4)/2)+1),"0.00"))</f>
        <v/>
      </c>
      <c r="F56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6" s="22">
        <f>IF(INDEX(Positions!$B$6:$B$35,INT((ROW()-4)/2)+1)="","",IF(MOD(ROW()-4,2)=0,INDEX(Positions!$G$6:$G$35,INT((ROW()-4)/2)+1),""))</f>
        <v/>
      </c>
      <c r="H56" s="22">
        <f>IF(INDEX(Positions!$B$6:$B$35,INT((ROW()-4)/2)+1)="","",IF(MOD(ROW()-4,2)=0,INDEX(Positions!$H$6:$H$35,INT((ROW()-4)/2)+1),""))</f>
        <v/>
      </c>
      <c r="I56" s="21">
        <f>IF(INDEX(Positions!$B$6:$B$35,INT((ROW()-4)/2)+1)="","",IF(MOD(ROW()-4,2)=0,INDEX(Positions!$A$6:$A$35,INT((ROW()-4)/2)+1),INDEX(Positions!$I$6:$I$35,INT((ROW()-4)/2)+1)))</f>
        <v/>
      </c>
      <c r="J56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6" s="22">
        <f>IF(INDEX(Positions!$B$6:$B$35,INT((ROW()-4)/2)+1)="","",IF(MOD(ROW()-4,2)=0,INDEX(Positions!$V$6:$V$35,INT((ROW()-4)/2)+1),INDEX(Positions!$W$6:$W$35,INT((ROW()-4)/2)+1)))</f>
        <v/>
      </c>
    </row>
    <row r="57">
      <c r="A57" s="21">
        <f>IF(INDEX(Positions!$B$6:$B$35,INT((ROW()-4)/2)+1)="","",IF(MOD(ROW()-4,2)=0,INDEX(Positions!$A$6:$A$35,INT((ROW()-4)/2)+1),INDEX(Positions!$I$6:$I$35,INT((ROW()-4)/2)+1)))</f>
        <v/>
      </c>
      <c r="B57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7" s="22">
        <f>IF(INDEX(Positions!$B$6:$B$35,INT((ROW()-4)/2)+1)="","",INDEX(Positions!$C$6:$C$35,INT((ROW()-4)/2)+1))</f>
        <v/>
      </c>
      <c r="D57" s="22">
        <f>IF(INDEX(Positions!$B$6:$B$35,INT((ROW()-4)/2)+1)="","",IF(MOD(ROW()-4,2)=0,INDEX(Positions!$D$6:$D$35,INT((ROW()-4)/2)+1),IF(INDEX(Positions!$D$6:$D$35,INT((ROW()-4)/2)+1)="buy","sell","buy")))</f>
        <v/>
      </c>
      <c r="E57" s="22">
        <f>IF(INDEX(Positions!$B$6:$B$35,INT((ROW()-4)/2)+1)="","",TEXT(INDEX(Positions!$E$6:$E$35,INT((ROW()-4)/2)+1),"0.00")&amp;" / "&amp;TEXT(INDEX(Positions!$E$6:$E$35,INT((ROW()-4)/2)+1),"0.00"))</f>
        <v/>
      </c>
      <c r="F57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7" s="22">
        <f>IF(INDEX(Positions!$B$6:$B$35,INT((ROW()-4)/2)+1)="","",IF(MOD(ROW()-4,2)=0,INDEX(Positions!$G$6:$G$35,INT((ROW()-4)/2)+1),""))</f>
        <v/>
      </c>
      <c r="H57" s="22">
        <f>IF(INDEX(Positions!$B$6:$B$35,INT((ROW()-4)/2)+1)="","",IF(MOD(ROW()-4,2)=0,INDEX(Positions!$H$6:$H$35,INT((ROW()-4)/2)+1),""))</f>
        <v/>
      </c>
      <c r="I57" s="21">
        <f>IF(INDEX(Positions!$B$6:$B$35,INT((ROW()-4)/2)+1)="","",IF(MOD(ROW()-4,2)=0,INDEX(Positions!$A$6:$A$35,INT((ROW()-4)/2)+1),INDEX(Positions!$I$6:$I$35,INT((ROW()-4)/2)+1)))</f>
        <v/>
      </c>
      <c r="J57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7" s="22">
        <f>IF(INDEX(Positions!$B$6:$B$35,INT((ROW()-4)/2)+1)="","",IF(MOD(ROW()-4,2)=0,INDEX(Positions!$V$6:$V$35,INT((ROW()-4)/2)+1),INDEX(Positions!$W$6:$W$35,INT((ROW()-4)/2)+1)))</f>
        <v/>
      </c>
    </row>
    <row r="58">
      <c r="A58" s="21">
        <f>IF(INDEX(Positions!$B$6:$B$35,INT((ROW()-4)/2)+1)="","",IF(MOD(ROW()-4,2)=0,INDEX(Positions!$A$6:$A$35,INT((ROW()-4)/2)+1),INDEX(Positions!$I$6:$I$35,INT((ROW()-4)/2)+1)))</f>
        <v/>
      </c>
      <c r="B58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8" s="22">
        <f>IF(INDEX(Positions!$B$6:$B$35,INT((ROW()-4)/2)+1)="","",INDEX(Positions!$C$6:$C$35,INT((ROW()-4)/2)+1))</f>
        <v/>
      </c>
      <c r="D58" s="22">
        <f>IF(INDEX(Positions!$B$6:$B$35,INT((ROW()-4)/2)+1)="","",IF(MOD(ROW()-4,2)=0,INDEX(Positions!$D$6:$D$35,INT((ROW()-4)/2)+1),IF(INDEX(Positions!$D$6:$D$35,INT((ROW()-4)/2)+1)="buy","sell","buy")))</f>
        <v/>
      </c>
      <c r="E58" s="22">
        <f>IF(INDEX(Positions!$B$6:$B$35,INT((ROW()-4)/2)+1)="","",TEXT(INDEX(Positions!$E$6:$E$35,INT((ROW()-4)/2)+1),"0.00")&amp;" / "&amp;TEXT(INDEX(Positions!$E$6:$E$35,INT((ROW()-4)/2)+1),"0.00"))</f>
        <v/>
      </c>
      <c r="F58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8" s="22">
        <f>IF(INDEX(Positions!$B$6:$B$35,INT((ROW()-4)/2)+1)="","",IF(MOD(ROW()-4,2)=0,INDEX(Positions!$G$6:$G$35,INT((ROW()-4)/2)+1),""))</f>
        <v/>
      </c>
      <c r="H58" s="22">
        <f>IF(INDEX(Positions!$B$6:$B$35,INT((ROW()-4)/2)+1)="","",IF(MOD(ROW()-4,2)=0,INDEX(Positions!$H$6:$H$35,INT((ROW()-4)/2)+1),""))</f>
        <v/>
      </c>
      <c r="I58" s="21">
        <f>IF(INDEX(Positions!$B$6:$B$35,INT((ROW()-4)/2)+1)="","",IF(MOD(ROW()-4,2)=0,INDEX(Positions!$A$6:$A$35,INT((ROW()-4)/2)+1),INDEX(Positions!$I$6:$I$35,INT((ROW()-4)/2)+1)))</f>
        <v/>
      </c>
      <c r="J58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8" s="22">
        <f>IF(INDEX(Positions!$B$6:$B$35,INT((ROW()-4)/2)+1)="","",IF(MOD(ROW()-4,2)=0,INDEX(Positions!$V$6:$V$35,INT((ROW()-4)/2)+1),INDEX(Positions!$W$6:$W$35,INT((ROW()-4)/2)+1)))</f>
        <v/>
      </c>
    </row>
    <row r="59">
      <c r="A59" s="21">
        <f>IF(INDEX(Positions!$B$6:$B$35,INT((ROW()-4)/2)+1)="","",IF(MOD(ROW()-4,2)=0,INDEX(Positions!$A$6:$A$35,INT((ROW()-4)/2)+1),INDEX(Positions!$I$6:$I$35,INT((ROW()-4)/2)+1)))</f>
        <v/>
      </c>
      <c r="B59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59" s="22">
        <f>IF(INDEX(Positions!$B$6:$B$35,INT((ROW()-4)/2)+1)="","",INDEX(Positions!$C$6:$C$35,INT((ROW()-4)/2)+1))</f>
        <v/>
      </c>
      <c r="D59" s="22">
        <f>IF(INDEX(Positions!$B$6:$B$35,INT((ROW()-4)/2)+1)="","",IF(MOD(ROW()-4,2)=0,INDEX(Positions!$D$6:$D$35,INT((ROW()-4)/2)+1),IF(INDEX(Positions!$D$6:$D$35,INT((ROW()-4)/2)+1)="buy","sell","buy")))</f>
        <v/>
      </c>
      <c r="E59" s="22">
        <f>IF(INDEX(Positions!$B$6:$B$35,INT((ROW()-4)/2)+1)="","",TEXT(INDEX(Positions!$E$6:$E$35,INT((ROW()-4)/2)+1),"0.00")&amp;" / "&amp;TEXT(INDEX(Positions!$E$6:$E$35,INT((ROW()-4)/2)+1),"0.00"))</f>
        <v/>
      </c>
      <c r="F59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59" s="22">
        <f>IF(INDEX(Positions!$B$6:$B$35,INT((ROW()-4)/2)+1)="","",IF(MOD(ROW()-4,2)=0,INDEX(Positions!$G$6:$G$35,INT((ROW()-4)/2)+1),""))</f>
        <v/>
      </c>
      <c r="H59" s="22">
        <f>IF(INDEX(Positions!$B$6:$B$35,INT((ROW()-4)/2)+1)="","",IF(MOD(ROW()-4,2)=0,INDEX(Positions!$H$6:$H$35,INT((ROW()-4)/2)+1),""))</f>
        <v/>
      </c>
      <c r="I59" s="21">
        <f>IF(INDEX(Positions!$B$6:$B$35,INT((ROW()-4)/2)+1)="","",IF(MOD(ROW()-4,2)=0,INDEX(Positions!$A$6:$A$35,INT((ROW()-4)/2)+1),INDEX(Positions!$I$6:$I$35,INT((ROW()-4)/2)+1)))</f>
        <v/>
      </c>
      <c r="J59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59" s="22">
        <f>IF(INDEX(Positions!$B$6:$B$35,INT((ROW()-4)/2)+1)="","",IF(MOD(ROW()-4,2)=0,INDEX(Positions!$V$6:$V$35,INT((ROW()-4)/2)+1),INDEX(Positions!$W$6:$W$35,INT((ROW()-4)/2)+1)))</f>
        <v/>
      </c>
    </row>
    <row r="60">
      <c r="A60" s="21">
        <f>IF(INDEX(Positions!$B$6:$B$35,INT((ROW()-4)/2)+1)="","",IF(MOD(ROW()-4,2)=0,INDEX(Positions!$A$6:$A$35,INT((ROW()-4)/2)+1),INDEX(Positions!$I$6:$I$35,INT((ROW()-4)/2)+1)))</f>
        <v/>
      </c>
      <c r="B60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60" s="22">
        <f>IF(INDEX(Positions!$B$6:$B$35,INT((ROW()-4)/2)+1)="","",INDEX(Positions!$C$6:$C$35,INT((ROW()-4)/2)+1))</f>
        <v/>
      </c>
      <c r="D60" s="22">
        <f>IF(INDEX(Positions!$B$6:$B$35,INT((ROW()-4)/2)+1)="","",IF(MOD(ROW()-4,2)=0,INDEX(Positions!$D$6:$D$35,INT((ROW()-4)/2)+1),IF(INDEX(Positions!$D$6:$D$35,INT((ROW()-4)/2)+1)="buy","sell","buy")))</f>
        <v/>
      </c>
      <c r="E60" s="22">
        <f>IF(INDEX(Positions!$B$6:$B$35,INT((ROW()-4)/2)+1)="","",TEXT(INDEX(Positions!$E$6:$E$35,INT((ROW()-4)/2)+1),"0.00")&amp;" / "&amp;TEXT(INDEX(Positions!$E$6:$E$35,INT((ROW()-4)/2)+1),"0.00"))</f>
        <v/>
      </c>
      <c r="F60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60" s="22">
        <f>IF(INDEX(Positions!$B$6:$B$35,INT((ROW()-4)/2)+1)="","",IF(MOD(ROW()-4,2)=0,INDEX(Positions!$G$6:$G$35,INT((ROW()-4)/2)+1),""))</f>
        <v/>
      </c>
      <c r="H60" s="22">
        <f>IF(INDEX(Positions!$B$6:$B$35,INT((ROW()-4)/2)+1)="","",IF(MOD(ROW()-4,2)=0,INDEX(Positions!$H$6:$H$35,INT((ROW()-4)/2)+1),""))</f>
        <v/>
      </c>
      <c r="I60" s="21">
        <f>IF(INDEX(Positions!$B$6:$B$35,INT((ROW()-4)/2)+1)="","",IF(MOD(ROW()-4,2)=0,INDEX(Positions!$A$6:$A$35,INT((ROW()-4)/2)+1),INDEX(Positions!$I$6:$I$35,INT((ROW()-4)/2)+1)))</f>
        <v/>
      </c>
      <c r="J60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60" s="22">
        <f>IF(INDEX(Positions!$B$6:$B$35,INT((ROW()-4)/2)+1)="","",IF(MOD(ROW()-4,2)=0,INDEX(Positions!$V$6:$V$35,INT((ROW()-4)/2)+1),INDEX(Positions!$W$6:$W$35,INT((ROW()-4)/2)+1)))</f>
        <v/>
      </c>
    </row>
    <row r="61">
      <c r="A61" s="21">
        <f>IF(INDEX(Positions!$B$6:$B$35,INT((ROW()-4)/2)+1)="","",IF(MOD(ROW()-4,2)=0,INDEX(Positions!$A$6:$A$35,INT((ROW()-4)/2)+1),INDEX(Positions!$I$6:$I$35,INT((ROW()-4)/2)+1)))</f>
        <v/>
      </c>
      <c r="B61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61" s="22">
        <f>IF(INDEX(Positions!$B$6:$B$35,INT((ROW()-4)/2)+1)="","",INDEX(Positions!$C$6:$C$35,INT((ROW()-4)/2)+1))</f>
        <v/>
      </c>
      <c r="D61" s="22">
        <f>IF(INDEX(Positions!$B$6:$B$35,INT((ROW()-4)/2)+1)="","",IF(MOD(ROW()-4,2)=0,INDEX(Positions!$D$6:$D$35,INT((ROW()-4)/2)+1),IF(INDEX(Positions!$D$6:$D$35,INT((ROW()-4)/2)+1)="buy","sell","buy")))</f>
        <v/>
      </c>
      <c r="E61" s="22">
        <f>IF(INDEX(Positions!$B$6:$B$35,INT((ROW()-4)/2)+1)="","",TEXT(INDEX(Positions!$E$6:$E$35,INT((ROW()-4)/2)+1),"0.00")&amp;" / "&amp;TEXT(INDEX(Positions!$E$6:$E$35,INT((ROW()-4)/2)+1),"0.00"))</f>
        <v/>
      </c>
      <c r="F61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61" s="22">
        <f>IF(INDEX(Positions!$B$6:$B$35,INT((ROW()-4)/2)+1)="","",IF(MOD(ROW()-4,2)=0,INDEX(Positions!$G$6:$G$35,INT((ROW()-4)/2)+1),""))</f>
        <v/>
      </c>
      <c r="H61" s="22">
        <f>IF(INDEX(Positions!$B$6:$B$35,INT((ROW()-4)/2)+1)="","",IF(MOD(ROW()-4,2)=0,INDEX(Positions!$H$6:$H$35,INT((ROW()-4)/2)+1),""))</f>
        <v/>
      </c>
      <c r="I61" s="21">
        <f>IF(INDEX(Positions!$B$6:$B$35,INT((ROW()-4)/2)+1)="","",IF(MOD(ROW()-4,2)=0,INDEX(Positions!$A$6:$A$35,INT((ROW()-4)/2)+1),INDEX(Positions!$I$6:$I$35,INT((ROW()-4)/2)+1)))</f>
        <v/>
      </c>
      <c r="J61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61" s="22">
        <f>IF(INDEX(Positions!$B$6:$B$35,INT((ROW()-4)/2)+1)="","",IF(MOD(ROW()-4,2)=0,INDEX(Positions!$V$6:$V$35,INT((ROW()-4)/2)+1),INDEX(Positions!$W$6:$W$35,INT((ROW()-4)/2)+1)))</f>
        <v/>
      </c>
    </row>
    <row r="62">
      <c r="A62" s="21">
        <f>IF(INDEX(Positions!$B$6:$B$35,INT((ROW()-4)/2)+1)="","",IF(MOD(ROW()-4,2)=0,INDEX(Positions!$A$6:$A$35,INT((ROW()-4)/2)+1),INDEX(Positions!$I$6:$I$35,INT((ROW()-4)/2)+1)))</f>
        <v/>
      </c>
      <c r="B62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62" s="22">
        <f>IF(INDEX(Positions!$B$6:$B$35,INT((ROW()-4)/2)+1)="","",INDEX(Positions!$C$6:$C$35,INT((ROW()-4)/2)+1))</f>
        <v/>
      </c>
      <c r="D62" s="22">
        <f>IF(INDEX(Positions!$B$6:$B$35,INT((ROW()-4)/2)+1)="","",IF(MOD(ROW()-4,2)=0,INDEX(Positions!$D$6:$D$35,INT((ROW()-4)/2)+1),IF(INDEX(Positions!$D$6:$D$35,INT((ROW()-4)/2)+1)="buy","sell","buy")))</f>
        <v/>
      </c>
      <c r="E62" s="22">
        <f>IF(INDEX(Positions!$B$6:$B$35,INT((ROW()-4)/2)+1)="","",TEXT(INDEX(Positions!$E$6:$E$35,INT((ROW()-4)/2)+1),"0.00")&amp;" / "&amp;TEXT(INDEX(Positions!$E$6:$E$35,INT((ROW()-4)/2)+1),"0.00"))</f>
        <v/>
      </c>
      <c r="F62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62" s="22">
        <f>IF(INDEX(Positions!$B$6:$B$35,INT((ROW()-4)/2)+1)="","",IF(MOD(ROW()-4,2)=0,INDEX(Positions!$G$6:$G$35,INT((ROW()-4)/2)+1),""))</f>
        <v/>
      </c>
      <c r="H62" s="22">
        <f>IF(INDEX(Positions!$B$6:$B$35,INT((ROW()-4)/2)+1)="","",IF(MOD(ROW()-4,2)=0,INDEX(Positions!$H$6:$H$35,INT((ROW()-4)/2)+1),""))</f>
        <v/>
      </c>
      <c r="I62" s="21">
        <f>IF(INDEX(Positions!$B$6:$B$35,INT((ROW()-4)/2)+1)="","",IF(MOD(ROW()-4,2)=0,INDEX(Positions!$A$6:$A$35,INT((ROW()-4)/2)+1),INDEX(Positions!$I$6:$I$35,INT((ROW()-4)/2)+1)))</f>
        <v/>
      </c>
      <c r="J62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62" s="22">
        <f>IF(INDEX(Positions!$B$6:$B$35,INT((ROW()-4)/2)+1)="","",IF(MOD(ROW()-4,2)=0,INDEX(Positions!$V$6:$V$35,INT((ROW()-4)/2)+1),INDEX(Positions!$W$6:$W$35,INT((ROW()-4)/2)+1)))</f>
        <v/>
      </c>
    </row>
    <row r="63">
      <c r="A63" s="21">
        <f>IF(INDEX(Positions!$B$6:$B$35,INT((ROW()-4)/2)+1)="","",IF(MOD(ROW()-4,2)=0,INDEX(Positions!$A$6:$A$35,INT((ROW()-4)/2)+1),INDEX(Positions!$I$6:$I$35,INT((ROW()-4)/2)+1)))</f>
        <v/>
      </c>
      <c r="B63" s="22">
        <f>IF(INDEX(Positions!$B$6:$B$35,INT((ROW()-4)/2)+1)="","",IF(MOD(ROW()-4,2)=0,IF(INDEX(Positions!$N$6:$N$35,INT((ROW()-4)/2)+1)="",INDEX(Positions!$B$6:$B$35,INT((ROW()-4)/2)+1)&amp;"01",INDEX(Positions!$N$6:$N$35,INT((ROW()-4)/2)+1)),IF(INDEX(Positions!$O$6:$O$35,INT((ROW()-4)/2)+1)="",INDEX(Positions!$B$6:$B$35,INT((ROW()-4)/2)+1)&amp;"02",INDEX(Positions!$O$6:$O$35,INT((ROW()-4)/2)+1))))</f>
        <v/>
      </c>
      <c r="C63" s="22">
        <f>IF(INDEX(Positions!$B$6:$B$35,INT((ROW()-4)/2)+1)="","",INDEX(Positions!$C$6:$C$35,INT((ROW()-4)/2)+1))</f>
        <v/>
      </c>
      <c r="D63" s="22">
        <f>IF(INDEX(Positions!$B$6:$B$35,INT((ROW()-4)/2)+1)="","",IF(MOD(ROW()-4,2)=0,INDEX(Positions!$D$6:$D$35,INT((ROW()-4)/2)+1),IF(INDEX(Positions!$D$6:$D$35,INT((ROW()-4)/2)+1)="buy","sell","buy")))</f>
        <v/>
      </c>
      <c r="E63" s="22">
        <f>IF(INDEX(Positions!$B$6:$B$35,INT((ROW()-4)/2)+1)="","",TEXT(INDEX(Positions!$E$6:$E$35,INT((ROW()-4)/2)+1),"0.00")&amp;" / "&amp;TEXT(INDEX(Positions!$E$6:$E$35,INT((ROW()-4)/2)+1),"0.00"))</f>
        <v/>
      </c>
      <c r="F63" s="22">
        <f>IF(INDEX(Positions!$B$6:$B$35,INT((ROW()-4)/2)+1)="","",IF(MOD(ROW()-4,2)=0,IF(INDEX(Positions!$R$6:$R$35,INT((ROW()-4)/2)+1)="","market",INDEX(Positions!$R$6:$R$35,INT((ROW()-4)/2)+1)),IF(INDEX(Positions!$S$6:$S$35,INT((ROW()-4)/2)+1)="","market",INDEX(Positions!$S$6:$S$35,INT((ROW()-4)/2)+1))))</f>
        <v/>
      </c>
      <c r="G63" s="22">
        <f>IF(INDEX(Positions!$B$6:$B$35,INT((ROW()-4)/2)+1)="","",IF(MOD(ROW()-4,2)=0,INDEX(Positions!$G$6:$G$35,INT((ROW()-4)/2)+1),""))</f>
        <v/>
      </c>
      <c r="H63" s="22">
        <f>IF(INDEX(Positions!$B$6:$B$35,INT((ROW()-4)/2)+1)="","",IF(MOD(ROW()-4,2)=0,INDEX(Positions!$H$6:$H$35,INT((ROW()-4)/2)+1),""))</f>
        <v/>
      </c>
      <c r="I63" s="21">
        <f>IF(INDEX(Positions!$B$6:$B$35,INT((ROW()-4)/2)+1)="","",IF(MOD(ROW()-4,2)=0,INDEX(Positions!$A$6:$A$35,INT((ROW()-4)/2)+1),INDEX(Positions!$I$6:$I$35,INT((ROW()-4)/2)+1)))</f>
        <v/>
      </c>
      <c r="J63" s="22">
        <f>IF(INDEX(Positions!$B$6:$B$35,INT((ROW()-4)/2)+1)="","",IF(MOD(ROW()-4,2)=0,IF(INDEX(Positions!$T$6:$T$35,INT((ROW()-4)/2)+1)="","filled",INDEX(Positions!$T$6:$T$35,INT((ROW()-4)/2)+1)),IF(INDEX(Positions!$U$6:$U$35,INT((ROW()-4)/2)+1)="","filled",INDEX(Positions!$U$6:$U$35,INT((ROW()-4)/2)+1))))</f>
        <v/>
      </c>
      <c r="K63" s="22">
        <f>IF(INDEX(Positions!$B$6:$B$35,INT((ROW()-4)/2)+1)="","",IF(MOD(ROW()-4,2)=0,INDEX(Positions!$V$6:$V$35,INT((ROW()-4)/2)+1),INDEX(Positions!$W$6:$W$35,INT((ROW()-4)/2)+1)))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10" customWidth="1" min="5" max="5"/>
    <col width="8" customWidth="1" min="6" max="6"/>
    <col width="11" customWidth="1" min="7" max="7"/>
    <col width="14" customWidth="1" min="8" max="8"/>
    <col width="8" customWidth="1" min="9" max="9"/>
    <col width="11" customWidth="1" min="10" max="10"/>
    <col width="8" customWidth="1" min="11" max="11"/>
    <col width="8" customWidth="1" min="12" max="12"/>
    <col width="10" customWidth="1" min="13" max="13"/>
    <col width="12" customWidth="1" min="14" max="14"/>
    <col width="16" customWidth="1" min="15" max="15"/>
  </cols>
  <sheetData>
    <row r="1">
      <c r="A1" s="20" t="inlineStr">
        <is>
          <t>Deals (auto from Positions)</t>
        </is>
      </c>
    </row>
    <row r="3">
      <c r="A3" s="6" t="inlineStr">
        <is>
          <t>Time</t>
        </is>
      </c>
      <c r="B3" s="6" t="inlineStr">
        <is>
          <t>Deal</t>
        </is>
      </c>
      <c r="C3" s="6" t="inlineStr">
        <is>
          <t>Symbol</t>
        </is>
      </c>
      <c r="D3" s="6" t="inlineStr">
        <is>
          <t>Type</t>
        </is>
      </c>
      <c r="E3" s="6" t="inlineStr">
        <is>
          <t>Direction</t>
        </is>
      </c>
      <c r="F3" s="6" t="inlineStr">
        <is>
          <t>Volume</t>
        </is>
      </c>
      <c r="G3" s="6" t="inlineStr">
        <is>
          <t>Price</t>
        </is>
      </c>
      <c r="H3" s="6" t="inlineStr">
        <is>
          <t>Order</t>
        </is>
      </c>
      <c r="I3" s="6" t="inlineStr">
        <is>
          <t>Cost</t>
        </is>
      </c>
      <c r="J3" s="6" t="inlineStr">
        <is>
          <t>Commission</t>
        </is>
      </c>
      <c r="K3" s="6" t="inlineStr">
        <is>
          <t>Fee</t>
        </is>
      </c>
      <c r="L3" s="6" t="inlineStr">
        <is>
          <t>Swap</t>
        </is>
      </c>
      <c r="M3" s="6" t="inlineStr">
        <is>
          <t>Profit</t>
        </is>
      </c>
      <c r="N3" s="6" t="inlineStr">
        <is>
          <t>Balance</t>
        </is>
      </c>
      <c r="O3" s="6" t="inlineStr">
        <is>
          <t>Comment</t>
        </is>
      </c>
    </row>
    <row r="4">
      <c r="A4" s="21" t="n">
        <v>46055.41684027778</v>
      </c>
      <c r="B4" s="22" t="n">
        <v>784380249</v>
      </c>
      <c r="C4" s="22" t="n"/>
      <c r="D4" s="22" t="inlineStr">
        <is>
          <t>balance</t>
        </is>
      </c>
      <c r="E4" s="22" t="n"/>
      <c r="F4" s="22" t="n"/>
      <c r="G4" s="22" t="n"/>
      <c r="H4" s="22" t="n"/>
      <c r="I4" s="22" t="n"/>
      <c r="J4" s="23" t="n">
        <v>0</v>
      </c>
      <c r="K4" s="23" t="n">
        <v>0</v>
      </c>
      <c r="L4" s="23" t="n">
        <v>0</v>
      </c>
      <c r="M4" s="23" t="n">
        <v>88.15000000000001</v>
      </c>
      <c r="N4" s="23" t="n">
        <v>88.15000000000001</v>
      </c>
      <c r="O4" s="22" t="inlineStr">
        <is>
          <t>TR #13341666|</t>
        </is>
      </c>
    </row>
    <row r="5">
      <c r="A5" s="21">
        <f>IF(INDEX(Positions!$B$6:$B$35,INT((ROW()-5)/2)+1)="","",IF(MOD(ROW()-5,2)=0,INDEX(Positions!$A$6:$A$35,INT((ROW()-5)/2)+1),INDEX(Positions!$I$6:$I$35,INT((ROW()-5)/2)+1)))</f>
        <v/>
      </c>
      <c r="B5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" s="22">
        <f>IF(INDEX(Positions!$B$6:$B$35,INT((ROW()-5)/2)+1)="","",INDEX(Positions!$C$6:$C$35,INT((ROW()-5)/2)+1))</f>
        <v/>
      </c>
      <c r="D5" s="22">
        <f>IF(INDEX(Positions!$B$6:$B$35,INT((ROW()-5)/2)+1)="","",IF(MOD(ROW()-5,2)=0,INDEX(Positions!$D$6:$D$35,INT((ROW()-5)/2)+1),IF(INDEX(Positions!$D$6:$D$35,INT((ROW()-5)/2)+1)="buy","sell","buy")))</f>
        <v/>
      </c>
      <c r="E5" s="22">
        <f>IF(INDEX(Positions!$B$6:$B$35,INT((ROW()-5)/2)+1)="","",IF(MOD(ROW()-5,2)=0,"in","out"))</f>
        <v/>
      </c>
      <c r="F5" s="23">
        <f>IF(INDEX(Positions!$B$6:$B$35,INT((ROW()-5)/2)+1)="","",INDEX(Positions!$E$6:$E$35,INT((ROW()-5)/2)+1))</f>
        <v/>
      </c>
      <c r="G5" s="23">
        <f>IF(INDEX(Positions!$B$6:$B$35,INT((ROW()-5)/2)+1)="","",IF(MOD(ROW()-5,2)=0,INDEX(Positions!$F$6:$F$35,INT((ROW()-5)/2)+1),INDEX(Positions!$J$6:$J$35,INT((ROW()-5)/2)+1)))</f>
        <v/>
      </c>
      <c r="H5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" s="22">
        <f>0</f>
        <v/>
      </c>
      <c r="J5" s="23">
        <f>IF(INDEX(Positions!$B$6:$B$35,INT((ROW()-5)/2)+1)="","",IF(MOD(ROW()-5,2)=0,0,INDEX(Positions!$K$6:$K$35,INT((ROW()-5)/2)+1)))</f>
        <v/>
      </c>
      <c r="K5" s="23">
        <f>IF(INDEX(Positions!$B$6:$B$35,INT((ROW()-5)/2)+1)="","",IF(MOD(ROW()-5,2)=0,0,INDEX(Positions!$X$6:$X$35,INT((ROW()-5)/2)+1)))</f>
        <v/>
      </c>
      <c r="L5" s="23">
        <f>IF(INDEX(Positions!$B$6:$B$35,INT((ROW()-5)/2)+1)="","",IF(MOD(ROW()-5,2)=0,0,INDEX(Positions!$L$6:$L$35,INT((ROW()-5)/2)+1)))</f>
        <v/>
      </c>
      <c r="M5" s="23">
        <f>IF(INDEX(Positions!$B$6:$B$35,INT((ROW()-5)/2)+1)="","",IF(MOD(ROW()-5,2)=0,0,INDEX(Positions!$M$6:$M$35,INT((ROW()-5)/2)+1)))</f>
        <v/>
      </c>
      <c r="N5" s="23">
        <f>IF(INDEX(Positions!$B$6:$B$35,INT((ROW()-5)/2)+1)="","",IF(MOD(ROW()-5,2)=0,INDEX(Positions!$Z$6:$Z$35,INT((ROW()-5)/2)+1),INDEX(Positions!$AA$6:$AA$35,INT((ROW()-5)/2)+1)))</f>
        <v/>
      </c>
      <c r="O5" s="22">
        <f>IF(INDEX(Positions!$B$6:$B$35,INT((ROW()-5)/2)+1)="","",IF(MOD(ROW()-5,2)=0,INDEX(Positions!$V$6:$V$35,INT((ROW()-5)/2)+1),INDEX(Positions!$W$6:$W$35,INT((ROW()-5)/2)+1)))</f>
        <v/>
      </c>
    </row>
    <row r="6">
      <c r="A6" s="21">
        <f>IF(INDEX(Positions!$B$6:$B$35,INT((ROW()-5)/2)+1)="","",IF(MOD(ROW()-5,2)=0,INDEX(Positions!$A$6:$A$35,INT((ROW()-5)/2)+1),INDEX(Positions!$I$6:$I$35,INT((ROW()-5)/2)+1)))</f>
        <v/>
      </c>
      <c r="B6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6" s="22">
        <f>IF(INDEX(Positions!$B$6:$B$35,INT((ROW()-5)/2)+1)="","",INDEX(Positions!$C$6:$C$35,INT((ROW()-5)/2)+1))</f>
        <v/>
      </c>
      <c r="D6" s="22">
        <f>IF(INDEX(Positions!$B$6:$B$35,INT((ROW()-5)/2)+1)="","",IF(MOD(ROW()-5,2)=0,INDEX(Positions!$D$6:$D$35,INT((ROW()-5)/2)+1),IF(INDEX(Positions!$D$6:$D$35,INT((ROW()-5)/2)+1)="buy","sell","buy")))</f>
        <v/>
      </c>
      <c r="E6" s="22">
        <f>IF(INDEX(Positions!$B$6:$B$35,INT((ROW()-5)/2)+1)="","",IF(MOD(ROW()-5,2)=0,"in","out"))</f>
        <v/>
      </c>
      <c r="F6" s="23">
        <f>IF(INDEX(Positions!$B$6:$B$35,INT((ROW()-5)/2)+1)="","",INDEX(Positions!$E$6:$E$35,INT((ROW()-5)/2)+1))</f>
        <v/>
      </c>
      <c r="G6" s="23">
        <f>IF(INDEX(Positions!$B$6:$B$35,INT((ROW()-5)/2)+1)="","",IF(MOD(ROW()-5,2)=0,INDEX(Positions!$F$6:$F$35,INT((ROW()-5)/2)+1),INDEX(Positions!$J$6:$J$35,INT((ROW()-5)/2)+1)))</f>
        <v/>
      </c>
      <c r="H6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6" s="22">
        <f>0</f>
        <v/>
      </c>
      <c r="J6" s="23">
        <f>IF(INDEX(Positions!$B$6:$B$35,INT((ROW()-5)/2)+1)="","",IF(MOD(ROW()-5,2)=0,0,INDEX(Positions!$K$6:$K$35,INT((ROW()-5)/2)+1)))</f>
        <v/>
      </c>
      <c r="K6" s="23">
        <f>IF(INDEX(Positions!$B$6:$B$35,INT((ROW()-5)/2)+1)="","",IF(MOD(ROW()-5,2)=0,0,INDEX(Positions!$X$6:$X$35,INT((ROW()-5)/2)+1)))</f>
        <v/>
      </c>
      <c r="L6" s="23">
        <f>IF(INDEX(Positions!$B$6:$B$35,INT((ROW()-5)/2)+1)="","",IF(MOD(ROW()-5,2)=0,0,INDEX(Positions!$L$6:$L$35,INT((ROW()-5)/2)+1)))</f>
        <v/>
      </c>
      <c r="M6" s="23">
        <f>IF(INDEX(Positions!$B$6:$B$35,INT((ROW()-5)/2)+1)="","",IF(MOD(ROW()-5,2)=0,0,INDEX(Positions!$M$6:$M$35,INT((ROW()-5)/2)+1)))</f>
        <v/>
      </c>
      <c r="N6" s="23">
        <f>IF(INDEX(Positions!$B$6:$B$35,INT((ROW()-5)/2)+1)="","",IF(MOD(ROW()-5,2)=0,INDEX(Positions!$Z$6:$Z$35,INT((ROW()-5)/2)+1),INDEX(Positions!$AA$6:$AA$35,INT((ROW()-5)/2)+1)))</f>
        <v/>
      </c>
      <c r="O6" s="22">
        <f>IF(INDEX(Positions!$B$6:$B$35,INT((ROW()-5)/2)+1)="","",IF(MOD(ROW()-5,2)=0,INDEX(Positions!$V$6:$V$35,INT((ROW()-5)/2)+1),INDEX(Positions!$W$6:$W$35,INT((ROW()-5)/2)+1)))</f>
        <v/>
      </c>
    </row>
    <row r="7">
      <c r="A7" s="21">
        <f>IF(INDEX(Positions!$B$6:$B$35,INT((ROW()-5)/2)+1)="","",IF(MOD(ROW()-5,2)=0,INDEX(Positions!$A$6:$A$35,INT((ROW()-5)/2)+1),INDEX(Positions!$I$6:$I$35,INT((ROW()-5)/2)+1)))</f>
        <v/>
      </c>
      <c r="B7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7" s="22">
        <f>IF(INDEX(Positions!$B$6:$B$35,INT((ROW()-5)/2)+1)="","",INDEX(Positions!$C$6:$C$35,INT((ROW()-5)/2)+1))</f>
        <v/>
      </c>
      <c r="D7" s="22">
        <f>IF(INDEX(Positions!$B$6:$B$35,INT((ROW()-5)/2)+1)="","",IF(MOD(ROW()-5,2)=0,INDEX(Positions!$D$6:$D$35,INT((ROW()-5)/2)+1),IF(INDEX(Positions!$D$6:$D$35,INT((ROW()-5)/2)+1)="buy","sell","buy")))</f>
        <v/>
      </c>
      <c r="E7" s="22">
        <f>IF(INDEX(Positions!$B$6:$B$35,INT((ROW()-5)/2)+1)="","",IF(MOD(ROW()-5,2)=0,"in","out"))</f>
        <v/>
      </c>
      <c r="F7" s="23">
        <f>IF(INDEX(Positions!$B$6:$B$35,INT((ROW()-5)/2)+1)="","",INDEX(Positions!$E$6:$E$35,INT((ROW()-5)/2)+1))</f>
        <v/>
      </c>
      <c r="G7" s="23">
        <f>IF(INDEX(Positions!$B$6:$B$35,INT((ROW()-5)/2)+1)="","",IF(MOD(ROW()-5,2)=0,INDEX(Positions!$F$6:$F$35,INT((ROW()-5)/2)+1),INDEX(Positions!$J$6:$J$35,INT((ROW()-5)/2)+1)))</f>
        <v/>
      </c>
      <c r="H7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7" s="22">
        <f>0</f>
        <v/>
      </c>
      <c r="J7" s="23">
        <f>IF(INDEX(Positions!$B$6:$B$35,INT((ROW()-5)/2)+1)="","",IF(MOD(ROW()-5,2)=0,0,INDEX(Positions!$K$6:$K$35,INT((ROW()-5)/2)+1)))</f>
        <v/>
      </c>
      <c r="K7" s="23">
        <f>IF(INDEX(Positions!$B$6:$B$35,INT((ROW()-5)/2)+1)="","",IF(MOD(ROW()-5,2)=0,0,INDEX(Positions!$X$6:$X$35,INT((ROW()-5)/2)+1)))</f>
        <v/>
      </c>
      <c r="L7" s="23">
        <f>IF(INDEX(Positions!$B$6:$B$35,INT((ROW()-5)/2)+1)="","",IF(MOD(ROW()-5,2)=0,0,INDEX(Positions!$L$6:$L$35,INT((ROW()-5)/2)+1)))</f>
        <v/>
      </c>
      <c r="M7" s="23">
        <f>IF(INDEX(Positions!$B$6:$B$35,INT((ROW()-5)/2)+1)="","",IF(MOD(ROW()-5,2)=0,0,INDEX(Positions!$M$6:$M$35,INT((ROW()-5)/2)+1)))</f>
        <v/>
      </c>
      <c r="N7" s="23">
        <f>IF(INDEX(Positions!$B$6:$B$35,INT((ROW()-5)/2)+1)="","",IF(MOD(ROW()-5,2)=0,INDEX(Positions!$Z$6:$Z$35,INT((ROW()-5)/2)+1),INDEX(Positions!$AA$6:$AA$35,INT((ROW()-5)/2)+1)))</f>
        <v/>
      </c>
      <c r="O7" s="22">
        <f>IF(INDEX(Positions!$B$6:$B$35,INT((ROW()-5)/2)+1)="","",IF(MOD(ROW()-5,2)=0,INDEX(Positions!$V$6:$V$35,INT((ROW()-5)/2)+1),INDEX(Positions!$W$6:$W$35,INT((ROW()-5)/2)+1)))</f>
        <v/>
      </c>
    </row>
    <row r="8">
      <c r="A8" s="21">
        <f>IF(INDEX(Positions!$B$6:$B$35,INT((ROW()-5)/2)+1)="","",IF(MOD(ROW()-5,2)=0,INDEX(Positions!$A$6:$A$35,INT((ROW()-5)/2)+1),INDEX(Positions!$I$6:$I$35,INT((ROW()-5)/2)+1)))</f>
        <v/>
      </c>
      <c r="B8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8" s="22">
        <f>IF(INDEX(Positions!$B$6:$B$35,INT((ROW()-5)/2)+1)="","",INDEX(Positions!$C$6:$C$35,INT((ROW()-5)/2)+1))</f>
        <v/>
      </c>
      <c r="D8" s="22">
        <f>IF(INDEX(Positions!$B$6:$B$35,INT((ROW()-5)/2)+1)="","",IF(MOD(ROW()-5,2)=0,INDEX(Positions!$D$6:$D$35,INT((ROW()-5)/2)+1),IF(INDEX(Positions!$D$6:$D$35,INT((ROW()-5)/2)+1)="buy","sell","buy")))</f>
        <v/>
      </c>
      <c r="E8" s="22">
        <f>IF(INDEX(Positions!$B$6:$B$35,INT((ROW()-5)/2)+1)="","",IF(MOD(ROW()-5,2)=0,"in","out"))</f>
        <v/>
      </c>
      <c r="F8" s="23">
        <f>IF(INDEX(Positions!$B$6:$B$35,INT((ROW()-5)/2)+1)="","",INDEX(Positions!$E$6:$E$35,INT((ROW()-5)/2)+1))</f>
        <v/>
      </c>
      <c r="G8" s="23">
        <f>IF(INDEX(Positions!$B$6:$B$35,INT((ROW()-5)/2)+1)="","",IF(MOD(ROW()-5,2)=0,INDEX(Positions!$F$6:$F$35,INT((ROW()-5)/2)+1),INDEX(Positions!$J$6:$J$35,INT((ROW()-5)/2)+1)))</f>
        <v/>
      </c>
      <c r="H8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8" s="22">
        <f>0</f>
        <v/>
      </c>
      <c r="J8" s="23">
        <f>IF(INDEX(Positions!$B$6:$B$35,INT((ROW()-5)/2)+1)="","",IF(MOD(ROW()-5,2)=0,0,INDEX(Positions!$K$6:$K$35,INT((ROW()-5)/2)+1)))</f>
        <v/>
      </c>
      <c r="K8" s="23">
        <f>IF(INDEX(Positions!$B$6:$B$35,INT((ROW()-5)/2)+1)="","",IF(MOD(ROW()-5,2)=0,0,INDEX(Positions!$X$6:$X$35,INT((ROW()-5)/2)+1)))</f>
        <v/>
      </c>
      <c r="L8" s="23">
        <f>IF(INDEX(Positions!$B$6:$B$35,INT((ROW()-5)/2)+1)="","",IF(MOD(ROW()-5,2)=0,0,INDEX(Positions!$L$6:$L$35,INT((ROW()-5)/2)+1)))</f>
        <v/>
      </c>
      <c r="M8" s="23">
        <f>IF(INDEX(Positions!$B$6:$B$35,INT((ROW()-5)/2)+1)="","",IF(MOD(ROW()-5,2)=0,0,INDEX(Positions!$M$6:$M$35,INT((ROW()-5)/2)+1)))</f>
        <v/>
      </c>
      <c r="N8" s="23">
        <f>IF(INDEX(Positions!$B$6:$B$35,INT((ROW()-5)/2)+1)="","",IF(MOD(ROW()-5,2)=0,INDEX(Positions!$Z$6:$Z$35,INT((ROW()-5)/2)+1),INDEX(Positions!$AA$6:$AA$35,INT((ROW()-5)/2)+1)))</f>
        <v/>
      </c>
      <c r="O8" s="22">
        <f>IF(INDEX(Positions!$B$6:$B$35,INT((ROW()-5)/2)+1)="","",IF(MOD(ROW()-5,2)=0,INDEX(Positions!$V$6:$V$35,INT((ROW()-5)/2)+1),INDEX(Positions!$W$6:$W$35,INT((ROW()-5)/2)+1)))</f>
        <v/>
      </c>
    </row>
    <row r="9">
      <c r="A9" s="21">
        <f>IF(INDEX(Positions!$B$6:$B$35,INT((ROW()-5)/2)+1)="","",IF(MOD(ROW()-5,2)=0,INDEX(Positions!$A$6:$A$35,INT((ROW()-5)/2)+1),INDEX(Positions!$I$6:$I$35,INT((ROW()-5)/2)+1)))</f>
        <v/>
      </c>
      <c r="B9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9" s="22">
        <f>IF(INDEX(Positions!$B$6:$B$35,INT((ROW()-5)/2)+1)="","",INDEX(Positions!$C$6:$C$35,INT((ROW()-5)/2)+1))</f>
        <v/>
      </c>
      <c r="D9" s="22">
        <f>IF(INDEX(Positions!$B$6:$B$35,INT((ROW()-5)/2)+1)="","",IF(MOD(ROW()-5,2)=0,INDEX(Positions!$D$6:$D$35,INT((ROW()-5)/2)+1),IF(INDEX(Positions!$D$6:$D$35,INT((ROW()-5)/2)+1)="buy","sell","buy")))</f>
        <v/>
      </c>
      <c r="E9" s="22">
        <f>IF(INDEX(Positions!$B$6:$B$35,INT((ROW()-5)/2)+1)="","",IF(MOD(ROW()-5,2)=0,"in","out"))</f>
        <v/>
      </c>
      <c r="F9" s="23">
        <f>IF(INDEX(Positions!$B$6:$B$35,INT((ROW()-5)/2)+1)="","",INDEX(Positions!$E$6:$E$35,INT((ROW()-5)/2)+1))</f>
        <v/>
      </c>
      <c r="G9" s="23">
        <f>IF(INDEX(Positions!$B$6:$B$35,INT((ROW()-5)/2)+1)="","",IF(MOD(ROW()-5,2)=0,INDEX(Positions!$F$6:$F$35,INT((ROW()-5)/2)+1),INDEX(Positions!$J$6:$J$35,INT((ROW()-5)/2)+1)))</f>
        <v/>
      </c>
      <c r="H9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9" s="22">
        <f>0</f>
        <v/>
      </c>
      <c r="J9" s="23">
        <f>IF(INDEX(Positions!$B$6:$B$35,INT((ROW()-5)/2)+1)="","",IF(MOD(ROW()-5,2)=0,0,INDEX(Positions!$K$6:$K$35,INT((ROW()-5)/2)+1)))</f>
        <v/>
      </c>
      <c r="K9" s="23">
        <f>IF(INDEX(Positions!$B$6:$B$35,INT((ROW()-5)/2)+1)="","",IF(MOD(ROW()-5,2)=0,0,INDEX(Positions!$X$6:$X$35,INT((ROW()-5)/2)+1)))</f>
        <v/>
      </c>
      <c r="L9" s="23">
        <f>IF(INDEX(Positions!$B$6:$B$35,INT((ROW()-5)/2)+1)="","",IF(MOD(ROW()-5,2)=0,0,INDEX(Positions!$L$6:$L$35,INT((ROW()-5)/2)+1)))</f>
        <v/>
      </c>
      <c r="M9" s="23">
        <f>IF(INDEX(Positions!$B$6:$B$35,INT((ROW()-5)/2)+1)="","",IF(MOD(ROW()-5,2)=0,0,INDEX(Positions!$M$6:$M$35,INT((ROW()-5)/2)+1)))</f>
        <v/>
      </c>
      <c r="N9" s="23">
        <f>IF(INDEX(Positions!$B$6:$B$35,INT((ROW()-5)/2)+1)="","",IF(MOD(ROW()-5,2)=0,INDEX(Positions!$Z$6:$Z$35,INT((ROW()-5)/2)+1),INDEX(Positions!$AA$6:$AA$35,INT((ROW()-5)/2)+1)))</f>
        <v/>
      </c>
      <c r="O9" s="22">
        <f>IF(INDEX(Positions!$B$6:$B$35,INT((ROW()-5)/2)+1)="","",IF(MOD(ROW()-5,2)=0,INDEX(Positions!$V$6:$V$35,INT((ROW()-5)/2)+1),INDEX(Positions!$W$6:$W$35,INT((ROW()-5)/2)+1)))</f>
        <v/>
      </c>
    </row>
    <row r="10">
      <c r="A10" s="21">
        <f>IF(INDEX(Positions!$B$6:$B$35,INT((ROW()-5)/2)+1)="","",IF(MOD(ROW()-5,2)=0,INDEX(Positions!$A$6:$A$35,INT((ROW()-5)/2)+1),INDEX(Positions!$I$6:$I$35,INT((ROW()-5)/2)+1)))</f>
        <v/>
      </c>
      <c r="B10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0" s="22">
        <f>IF(INDEX(Positions!$B$6:$B$35,INT((ROW()-5)/2)+1)="","",INDEX(Positions!$C$6:$C$35,INT((ROW()-5)/2)+1))</f>
        <v/>
      </c>
      <c r="D10" s="22">
        <f>IF(INDEX(Positions!$B$6:$B$35,INT((ROW()-5)/2)+1)="","",IF(MOD(ROW()-5,2)=0,INDEX(Positions!$D$6:$D$35,INT((ROW()-5)/2)+1),IF(INDEX(Positions!$D$6:$D$35,INT((ROW()-5)/2)+1)="buy","sell","buy")))</f>
        <v/>
      </c>
      <c r="E10" s="22">
        <f>IF(INDEX(Positions!$B$6:$B$35,INT((ROW()-5)/2)+1)="","",IF(MOD(ROW()-5,2)=0,"in","out"))</f>
        <v/>
      </c>
      <c r="F10" s="23">
        <f>IF(INDEX(Positions!$B$6:$B$35,INT((ROW()-5)/2)+1)="","",INDEX(Positions!$E$6:$E$35,INT((ROW()-5)/2)+1))</f>
        <v/>
      </c>
      <c r="G10" s="23">
        <f>IF(INDEX(Positions!$B$6:$B$35,INT((ROW()-5)/2)+1)="","",IF(MOD(ROW()-5,2)=0,INDEX(Positions!$F$6:$F$35,INT((ROW()-5)/2)+1),INDEX(Positions!$J$6:$J$35,INT((ROW()-5)/2)+1)))</f>
        <v/>
      </c>
      <c r="H10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0" s="22">
        <f>0</f>
        <v/>
      </c>
      <c r="J10" s="23">
        <f>IF(INDEX(Positions!$B$6:$B$35,INT((ROW()-5)/2)+1)="","",IF(MOD(ROW()-5,2)=0,0,INDEX(Positions!$K$6:$K$35,INT((ROW()-5)/2)+1)))</f>
        <v/>
      </c>
      <c r="K10" s="23">
        <f>IF(INDEX(Positions!$B$6:$B$35,INT((ROW()-5)/2)+1)="","",IF(MOD(ROW()-5,2)=0,0,INDEX(Positions!$X$6:$X$35,INT((ROW()-5)/2)+1)))</f>
        <v/>
      </c>
      <c r="L10" s="23">
        <f>IF(INDEX(Positions!$B$6:$B$35,INT((ROW()-5)/2)+1)="","",IF(MOD(ROW()-5,2)=0,0,INDEX(Positions!$L$6:$L$35,INT((ROW()-5)/2)+1)))</f>
        <v/>
      </c>
      <c r="M10" s="23">
        <f>IF(INDEX(Positions!$B$6:$B$35,INT((ROW()-5)/2)+1)="","",IF(MOD(ROW()-5,2)=0,0,INDEX(Positions!$M$6:$M$35,INT((ROW()-5)/2)+1)))</f>
        <v/>
      </c>
      <c r="N10" s="23">
        <f>IF(INDEX(Positions!$B$6:$B$35,INT((ROW()-5)/2)+1)="","",IF(MOD(ROW()-5,2)=0,INDEX(Positions!$Z$6:$Z$35,INT((ROW()-5)/2)+1),INDEX(Positions!$AA$6:$AA$35,INT((ROW()-5)/2)+1)))</f>
        <v/>
      </c>
      <c r="O10" s="22">
        <f>IF(INDEX(Positions!$B$6:$B$35,INT((ROW()-5)/2)+1)="","",IF(MOD(ROW()-5,2)=0,INDEX(Positions!$V$6:$V$35,INT((ROW()-5)/2)+1),INDEX(Positions!$W$6:$W$35,INT((ROW()-5)/2)+1)))</f>
        <v/>
      </c>
    </row>
    <row r="11">
      <c r="A11" s="21">
        <f>IF(INDEX(Positions!$B$6:$B$35,INT((ROW()-5)/2)+1)="","",IF(MOD(ROW()-5,2)=0,INDEX(Positions!$A$6:$A$35,INT((ROW()-5)/2)+1),INDEX(Positions!$I$6:$I$35,INT((ROW()-5)/2)+1)))</f>
        <v/>
      </c>
      <c r="B11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1" s="22">
        <f>IF(INDEX(Positions!$B$6:$B$35,INT((ROW()-5)/2)+1)="","",INDEX(Positions!$C$6:$C$35,INT((ROW()-5)/2)+1))</f>
        <v/>
      </c>
      <c r="D11" s="22">
        <f>IF(INDEX(Positions!$B$6:$B$35,INT((ROW()-5)/2)+1)="","",IF(MOD(ROW()-5,2)=0,INDEX(Positions!$D$6:$D$35,INT((ROW()-5)/2)+1),IF(INDEX(Positions!$D$6:$D$35,INT((ROW()-5)/2)+1)="buy","sell","buy")))</f>
        <v/>
      </c>
      <c r="E11" s="22">
        <f>IF(INDEX(Positions!$B$6:$B$35,INT((ROW()-5)/2)+1)="","",IF(MOD(ROW()-5,2)=0,"in","out"))</f>
        <v/>
      </c>
      <c r="F11" s="23">
        <f>IF(INDEX(Positions!$B$6:$B$35,INT((ROW()-5)/2)+1)="","",INDEX(Positions!$E$6:$E$35,INT((ROW()-5)/2)+1))</f>
        <v/>
      </c>
      <c r="G11" s="23">
        <f>IF(INDEX(Positions!$B$6:$B$35,INT((ROW()-5)/2)+1)="","",IF(MOD(ROW()-5,2)=0,INDEX(Positions!$F$6:$F$35,INT((ROW()-5)/2)+1),INDEX(Positions!$J$6:$J$35,INT((ROW()-5)/2)+1)))</f>
        <v/>
      </c>
      <c r="H11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1" s="22">
        <f>0</f>
        <v/>
      </c>
      <c r="J11" s="23">
        <f>IF(INDEX(Positions!$B$6:$B$35,INT((ROW()-5)/2)+1)="","",IF(MOD(ROW()-5,2)=0,0,INDEX(Positions!$K$6:$K$35,INT((ROW()-5)/2)+1)))</f>
        <v/>
      </c>
      <c r="K11" s="23">
        <f>IF(INDEX(Positions!$B$6:$B$35,INT((ROW()-5)/2)+1)="","",IF(MOD(ROW()-5,2)=0,0,INDEX(Positions!$X$6:$X$35,INT((ROW()-5)/2)+1)))</f>
        <v/>
      </c>
      <c r="L11" s="23">
        <f>IF(INDEX(Positions!$B$6:$B$35,INT((ROW()-5)/2)+1)="","",IF(MOD(ROW()-5,2)=0,0,INDEX(Positions!$L$6:$L$35,INT((ROW()-5)/2)+1)))</f>
        <v/>
      </c>
      <c r="M11" s="23">
        <f>IF(INDEX(Positions!$B$6:$B$35,INT((ROW()-5)/2)+1)="","",IF(MOD(ROW()-5,2)=0,0,INDEX(Positions!$M$6:$M$35,INT((ROW()-5)/2)+1)))</f>
        <v/>
      </c>
      <c r="N11" s="23">
        <f>IF(INDEX(Positions!$B$6:$B$35,INT((ROW()-5)/2)+1)="","",IF(MOD(ROW()-5,2)=0,INDEX(Positions!$Z$6:$Z$35,INT((ROW()-5)/2)+1),INDEX(Positions!$AA$6:$AA$35,INT((ROW()-5)/2)+1)))</f>
        <v/>
      </c>
      <c r="O11" s="22">
        <f>IF(INDEX(Positions!$B$6:$B$35,INT((ROW()-5)/2)+1)="","",IF(MOD(ROW()-5,2)=0,INDEX(Positions!$V$6:$V$35,INT((ROW()-5)/2)+1),INDEX(Positions!$W$6:$W$35,INT((ROW()-5)/2)+1)))</f>
        <v/>
      </c>
    </row>
    <row r="12">
      <c r="A12" s="21">
        <f>IF(INDEX(Positions!$B$6:$B$35,INT((ROW()-5)/2)+1)="","",IF(MOD(ROW()-5,2)=0,INDEX(Positions!$A$6:$A$35,INT((ROW()-5)/2)+1),INDEX(Positions!$I$6:$I$35,INT((ROW()-5)/2)+1)))</f>
        <v/>
      </c>
      <c r="B12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2" s="22">
        <f>IF(INDEX(Positions!$B$6:$B$35,INT((ROW()-5)/2)+1)="","",INDEX(Positions!$C$6:$C$35,INT((ROW()-5)/2)+1))</f>
        <v/>
      </c>
      <c r="D12" s="22">
        <f>IF(INDEX(Positions!$B$6:$B$35,INT((ROW()-5)/2)+1)="","",IF(MOD(ROW()-5,2)=0,INDEX(Positions!$D$6:$D$35,INT((ROW()-5)/2)+1),IF(INDEX(Positions!$D$6:$D$35,INT((ROW()-5)/2)+1)="buy","sell","buy")))</f>
        <v/>
      </c>
      <c r="E12" s="22">
        <f>IF(INDEX(Positions!$B$6:$B$35,INT((ROW()-5)/2)+1)="","",IF(MOD(ROW()-5,2)=0,"in","out"))</f>
        <v/>
      </c>
      <c r="F12" s="23">
        <f>IF(INDEX(Positions!$B$6:$B$35,INT((ROW()-5)/2)+1)="","",INDEX(Positions!$E$6:$E$35,INT((ROW()-5)/2)+1))</f>
        <v/>
      </c>
      <c r="G12" s="23">
        <f>IF(INDEX(Positions!$B$6:$B$35,INT((ROW()-5)/2)+1)="","",IF(MOD(ROW()-5,2)=0,INDEX(Positions!$F$6:$F$35,INT((ROW()-5)/2)+1),INDEX(Positions!$J$6:$J$35,INT((ROW()-5)/2)+1)))</f>
        <v/>
      </c>
      <c r="H12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2" s="22">
        <f>0</f>
        <v/>
      </c>
      <c r="J12" s="23">
        <f>IF(INDEX(Positions!$B$6:$B$35,INT((ROW()-5)/2)+1)="","",IF(MOD(ROW()-5,2)=0,0,INDEX(Positions!$K$6:$K$35,INT((ROW()-5)/2)+1)))</f>
        <v/>
      </c>
      <c r="K12" s="23">
        <f>IF(INDEX(Positions!$B$6:$B$35,INT((ROW()-5)/2)+1)="","",IF(MOD(ROW()-5,2)=0,0,INDEX(Positions!$X$6:$X$35,INT((ROW()-5)/2)+1)))</f>
        <v/>
      </c>
      <c r="L12" s="23">
        <f>IF(INDEX(Positions!$B$6:$B$35,INT((ROW()-5)/2)+1)="","",IF(MOD(ROW()-5,2)=0,0,INDEX(Positions!$L$6:$L$35,INT((ROW()-5)/2)+1)))</f>
        <v/>
      </c>
      <c r="M12" s="23">
        <f>IF(INDEX(Positions!$B$6:$B$35,INT((ROW()-5)/2)+1)="","",IF(MOD(ROW()-5,2)=0,0,INDEX(Positions!$M$6:$M$35,INT((ROW()-5)/2)+1)))</f>
        <v/>
      </c>
      <c r="N12" s="23">
        <f>IF(INDEX(Positions!$B$6:$B$35,INT((ROW()-5)/2)+1)="","",IF(MOD(ROW()-5,2)=0,INDEX(Positions!$Z$6:$Z$35,INT((ROW()-5)/2)+1),INDEX(Positions!$AA$6:$AA$35,INT((ROW()-5)/2)+1)))</f>
        <v/>
      </c>
      <c r="O12" s="22">
        <f>IF(INDEX(Positions!$B$6:$B$35,INT((ROW()-5)/2)+1)="","",IF(MOD(ROW()-5,2)=0,INDEX(Positions!$V$6:$V$35,INT((ROW()-5)/2)+1),INDEX(Positions!$W$6:$W$35,INT((ROW()-5)/2)+1)))</f>
        <v/>
      </c>
    </row>
    <row r="13">
      <c r="A13" s="21">
        <f>IF(INDEX(Positions!$B$6:$B$35,INT((ROW()-5)/2)+1)="","",IF(MOD(ROW()-5,2)=0,INDEX(Positions!$A$6:$A$35,INT((ROW()-5)/2)+1),INDEX(Positions!$I$6:$I$35,INT((ROW()-5)/2)+1)))</f>
        <v/>
      </c>
      <c r="B13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3" s="22">
        <f>IF(INDEX(Positions!$B$6:$B$35,INT((ROW()-5)/2)+1)="","",INDEX(Positions!$C$6:$C$35,INT((ROW()-5)/2)+1))</f>
        <v/>
      </c>
      <c r="D13" s="22">
        <f>IF(INDEX(Positions!$B$6:$B$35,INT((ROW()-5)/2)+1)="","",IF(MOD(ROW()-5,2)=0,INDEX(Positions!$D$6:$D$35,INT((ROW()-5)/2)+1),IF(INDEX(Positions!$D$6:$D$35,INT((ROW()-5)/2)+1)="buy","sell","buy")))</f>
        <v/>
      </c>
      <c r="E13" s="22">
        <f>IF(INDEX(Positions!$B$6:$B$35,INT((ROW()-5)/2)+1)="","",IF(MOD(ROW()-5,2)=0,"in","out"))</f>
        <v/>
      </c>
      <c r="F13" s="23">
        <f>IF(INDEX(Positions!$B$6:$B$35,INT((ROW()-5)/2)+1)="","",INDEX(Positions!$E$6:$E$35,INT((ROW()-5)/2)+1))</f>
        <v/>
      </c>
      <c r="G13" s="23">
        <f>IF(INDEX(Positions!$B$6:$B$35,INT((ROW()-5)/2)+1)="","",IF(MOD(ROW()-5,2)=0,INDEX(Positions!$F$6:$F$35,INT((ROW()-5)/2)+1),INDEX(Positions!$J$6:$J$35,INT((ROW()-5)/2)+1)))</f>
        <v/>
      </c>
      <c r="H13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3" s="22">
        <f>0</f>
        <v/>
      </c>
      <c r="J13" s="23">
        <f>IF(INDEX(Positions!$B$6:$B$35,INT((ROW()-5)/2)+1)="","",IF(MOD(ROW()-5,2)=0,0,INDEX(Positions!$K$6:$K$35,INT((ROW()-5)/2)+1)))</f>
        <v/>
      </c>
      <c r="K13" s="23">
        <f>IF(INDEX(Positions!$B$6:$B$35,INT((ROW()-5)/2)+1)="","",IF(MOD(ROW()-5,2)=0,0,INDEX(Positions!$X$6:$X$35,INT((ROW()-5)/2)+1)))</f>
        <v/>
      </c>
      <c r="L13" s="23">
        <f>IF(INDEX(Positions!$B$6:$B$35,INT((ROW()-5)/2)+1)="","",IF(MOD(ROW()-5,2)=0,0,INDEX(Positions!$L$6:$L$35,INT((ROW()-5)/2)+1)))</f>
        <v/>
      </c>
      <c r="M13" s="23">
        <f>IF(INDEX(Positions!$B$6:$B$35,INT((ROW()-5)/2)+1)="","",IF(MOD(ROW()-5,2)=0,0,INDEX(Positions!$M$6:$M$35,INT((ROW()-5)/2)+1)))</f>
        <v/>
      </c>
      <c r="N13" s="23">
        <f>IF(INDEX(Positions!$B$6:$B$35,INT((ROW()-5)/2)+1)="","",IF(MOD(ROW()-5,2)=0,INDEX(Positions!$Z$6:$Z$35,INT((ROW()-5)/2)+1),INDEX(Positions!$AA$6:$AA$35,INT((ROW()-5)/2)+1)))</f>
        <v/>
      </c>
      <c r="O13" s="22">
        <f>IF(INDEX(Positions!$B$6:$B$35,INT((ROW()-5)/2)+1)="","",IF(MOD(ROW()-5,2)=0,INDEX(Positions!$V$6:$V$35,INT((ROW()-5)/2)+1),INDEX(Positions!$W$6:$W$35,INT((ROW()-5)/2)+1)))</f>
        <v/>
      </c>
    </row>
    <row r="14">
      <c r="A14" s="21">
        <f>IF(INDEX(Positions!$B$6:$B$35,INT((ROW()-5)/2)+1)="","",IF(MOD(ROW()-5,2)=0,INDEX(Positions!$A$6:$A$35,INT((ROW()-5)/2)+1),INDEX(Positions!$I$6:$I$35,INT((ROW()-5)/2)+1)))</f>
        <v/>
      </c>
      <c r="B14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4" s="22">
        <f>IF(INDEX(Positions!$B$6:$B$35,INT((ROW()-5)/2)+1)="","",INDEX(Positions!$C$6:$C$35,INT((ROW()-5)/2)+1))</f>
        <v/>
      </c>
      <c r="D14" s="22">
        <f>IF(INDEX(Positions!$B$6:$B$35,INT((ROW()-5)/2)+1)="","",IF(MOD(ROW()-5,2)=0,INDEX(Positions!$D$6:$D$35,INT((ROW()-5)/2)+1),IF(INDEX(Positions!$D$6:$D$35,INT((ROW()-5)/2)+1)="buy","sell","buy")))</f>
        <v/>
      </c>
      <c r="E14" s="22">
        <f>IF(INDEX(Positions!$B$6:$B$35,INT((ROW()-5)/2)+1)="","",IF(MOD(ROW()-5,2)=0,"in","out"))</f>
        <v/>
      </c>
      <c r="F14" s="23">
        <f>IF(INDEX(Positions!$B$6:$B$35,INT((ROW()-5)/2)+1)="","",INDEX(Positions!$E$6:$E$35,INT((ROW()-5)/2)+1))</f>
        <v/>
      </c>
      <c r="G14" s="23">
        <f>IF(INDEX(Positions!$B$6:$B$35,INT((ROW()-5)/2)+1)="","",IF(MOD(ROW()-5,2)=0,INDEX(Positions!$F$6:$F$35,INT((ROW()-5)/2)+1),INDEX(Positions!$J$6:$J$35,INT((ROW()-5)/2)+1)))</f>
        <v/>
      </c>
      <c r="H14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4" s="22">
        <f>0</f>
        <v/>
      </c>
      <c r="J14" s="23">
        <f>IF(INDEX(Positions!$B$6:$B$35,INT((ROW()-5)/2)+1)="","",IF(MOD(ROW()-5,2)=0,0,INDEX(Positions!$K$6:$K$35,INT((ROW()-5)/2)+1)))</f>
        <v/>
      </c>
      <c r="K14" s="23">
        <f>IF(INDEX(Positions!$B$6:$B$35,INT((ROW()-5)/2)+1)="","",IF(MOD(ROW()-5,2)=0,0,INDEX(Positions!$X$6:$X$35,INT((ROW()-5)/2)+1)))</f>
        <v/>
      </c>
      <c r="L14" s="23">
        <f>IF(INDEX(Positions!$B$6:$B$35,INT((ROW()-5)/2)+1)="","",IF(MOD(ROW()-5,2)=0,0,INDEX(Positions!$L$6:$L$35,INT((ROW()-5)/2)+1)))</f>
        <v/>
      </c>
      <c r="M14" s="23">
        <f>IF(INDEX(Positions!$B$6:$B$35,INT((ROW()-5)/2)+1)="","",IF(MOD(ROW()-5,2)=0,0,INDEX(Positions!$M$6:$M$35,INT((ROW()-5)/2)+1)))</f>
        <v/>
      </c>
      <c r="N14" s="23">
        <f>IF(INDEX(Positions!$B$6:$B$35,INT((ROW()-5)/2)+1)="","",IF(MOD(ROW()-5,2)=0,INDEX(Positions!$Z$6:$Z$35,INT((ROW()-5)/2)+1),INDEX(Positions!$AA$6:$AA$35,INT((ROW()-5)/2)+1)))</f>
        <v/>
      </c>
      <c r="O14" s="22">
        <f>IF(INDEX(Positions!$B$6:$B$35,INT((ROW()-5)/2)+1)="","",IF(MOD(ROW()-5,2)=0,INDEX(Positions!$V$6:$V$35,INT((ROW()-5)/2)+1),INDEX(Positions!$W$6:$W$35,INT((ROW()-5)/2)+1)))</f>
        <v/>
      </c>
    </row>
    <row r="15">
      <c r="A15" s="21">
        <f>IF(INDEX(Positions!$B$6:$B$35,INT((ROW()-5)/2)+1)="","",IF(MOD(ROW()-5,2)=0,INDEX(Positions!$A$6:$A$35,INT((ROW()-5)/2)+1),INDEX(Positions!$I$6:$I$35,INT((ROW()-5)/2)+1)))</f>
        <v/>
      </c>
      <c r="B15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5" s="22">
        <f>IF(INDEX(Positions!$B$6:$B$35,INT((ROW()-5)/2)+1)="","",INDEX(Positions!$C$6:$C$35,INT((ROW()-5)/2)+1))</f>
        <v/>
      </c>
      <c r="D15" s="22">
        <f>IF(INDEX(Positions!$B$6:$B$35,INT((ROW()-5)/2)+1)="","",IF(MOD(ROW()-5,2)=0,INDEX(Positions!$D$6:$D$35,INT((ROW()-5)/2)+1),IF(INDEX(Positions!$D$6:$D$35,INT((ROW()-5)/2)+1)="buy","sell","buy")))</f>
        <v/>
      </c>
      <c r="E15" s="22">
        <f>IF(INDEX(Positions!$B$6:$B$35,INT((ROW()-5)/2)+1)="","",IF(MOD(ROW()-5,2)=0,"in","out"))</f>
        <v/>
      </c>
      <c r="F15" s="23">
        <f>IF(INDEX(Positions!$B$6:$B$35,INT((ROW()-5)/2)+1)="","",INDEX(Positions!$E$6:$E$35,INT((ROW()-5)/2)+1))</f>
        <v/>
      </c>
      <c r="G15" s="23">
        <f>IF(INDEX(Positions!$B$6:$B$35,INT((ROW()-5)/2)+1)="","",IF(MOD(ROW()-5,2)=0,INDEX(Positions!$F$6:$F$35,INT((ROW()-5)/2)+1),INDEX(Positions!$J$6:$J$35,INT((ROW()-5)/2)+1)))</f>
        <v/>
      </c>
      <c r="H15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5" s="22">
        <f>0</f>
        <v/>
      </c>
      <c r="J15" s="23">
        <f>IF(INDEX(Positions!$B$6:$B$35,INT((ROW()-5)/2)+1)="","",IF(MOD(ROW()-5,2)=0,0,INDEX(Positions!$K$6:$K$35,INT((ROW()-5)/2)+1)))</f>
        <v/>
      </c>
      <c r="K15" s="23">
        <f>IF(INDEX(Positions!$B$6:$B$35,INT((ROW()-5)/2)+1)="","",IF(MOD(ROW()-5,2)=0,0,INDEX(Positions!$X$6:$X$35,INT((ROW()-5)/2)+1)))</f>
        <v/>
      </c>
      <c r="L15" s="23">
        <f>IF(INDEX(Positions!$B$6:$B$35,INT((ROW()-5)/2)+1)="","",IF(MOD(ROW()-5,2)=0,0,INDEX(Positions!$L$6:$L$35,INT((ROW()-5)/2)+1)))</f>
        <v/>
      </c>
      <c r="M15" s="23">
        <f>IF(INDEX(Positions!$B$6:$B$35,INT((ROW()-5)/2)+1)="","",IF(MOD(ROW()-5,2)=0,0,INDEX(Positions!$M$6:$M$35,INT((ROW()-5)/2)+1)))</f>
        <v/>
      </c>
      <c r="N15" s="23">
        <f>IF(INDEX(Positions!$B$6:$B$35,INT((ROW()-5)/2)+1)="","",IF(MOD(ROW()-5,2)=0,INDEX(Positions!$Z$6:$Z$35,INT((ROW()-5)/2)+1),INDEX(Positions!$AA$6:$AA$35,INT((ROW()-5)/2)+1)))</f>
        <v/>
      </c>
      <c r="O15" s="22">
        <f>IF(INDEX(Positions!$B$6:$B$35,INT((ROW()-5)/2)+1)="","",IF(MOD(ROW()-5,2)=0,INDEX(Positions!$V$6:$V$35,INT((ROW()-5)/2)+1),INDEX(Positions!$W$6:$W$35,INT((ROW()-5)/2)+1)))</f>
        <v/>
      </c>
    </row>
    <row r="16">
      <c r="A16" s="21">
        <f>IF(INDEX(Positions!$B$6:$B$35,INT((ROW()-5)/2)+1)="","",IF(MOD(ROW()-5,2)=0,INDEX(Positions!$A$6:$A$35,INT((ROW()-5)/2)+1),INDEX(Positions!$I$6:$I$35,INT((ROW()-5)/2)+1)))</f>
        <v/>
      </c>
      <c r="B16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6" s="22">
        <f>IF(INDEX(Positions!$B$6:$B$35,INT((ROW()-5)/2)+1)="","",INDEX(Positions!$C$6:$C$35,INT((ROW()-5)/2)+1))</f>
        <v/>
      </c>
      <c r="D16" s="22">
        <f>IF(INDEX(Positions!$B$6:$B$35,INT((ROW()-5)/2)+1)="","",IF(MOD(ROW()-5,2)=0,INDEX(Positions!$D$6:$D$35,INT((ROW()-5)/2)+1),IF(INDEX(Positions!$D$6:$D$35,INT((ROW()-5)/2)+1)="buy","sell","buy")))</f>
        <v/>
      </c>
      <c r="E16" s="22">
        <f>IF(INDEX(Positions!$B$6:$B$35,INT((ROW()-5)/2)+1)="","",IF(MOD(ROW()-5,2)=0,"in","out"))</f>
        <v/>
      </c>
      <c r="F16" s="23">
        <f>IF(INDEX(Positions!$B$6:$B$35,INT((ROW()-5)/2)+1)="","",INDEX(Positions!$E$6:$E$35,INT((ROW()-5)/2)+1))</f>
        <v/>
      </c>
      <c r="G16" s="23">
        <f>IF(INDEX(Positions!$B$6:$B$35,INT((ROW()-5)/2)+1)="","",IF(MOD(ROW()-5,2)=0,INDEX(Positions!$F$6:$F$35,INT((ROW()-5)/2)+1),INDEX(Positions!$J$6:$J$35,INT((ROW()-5)/2)+1)))</f>
        <v/>
      </c>
      <c r="H16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6" s="22">
        <f>0</f>
        <v/>
      </c>
      <c r="J16" s="23">
        <f>IF(INDEX(Positions!$B$6:$B$35,INT((ROW()-5)/2)+1)="","",IF(MOD(ROW()-5,2)=0,0,INDEX(Positions!$K$6:$K$35,INT((ROW()-5)/2)+1)))</f>
        <v/>
      </c>
      <c r="K16" s="23">
        <f>IF(INDEX(Positions!$B$6:$B$35,INT((ROW()-5)/2)+1)="","",IF(MOD(ROW()-5,2)=0,0,INDEX(Positions!$X$6:$X$35,INT((ROW()-5)/2)+1)))</f>
        <v/>
      </c>
      <c r="L16" s="23">
        <f>IF(INDEX(Positions!$B$6:$B$35,INT((ROW()-5)/2)+1)="","",IF(MOD(ROW()-5,2)=0,0,INDEX(Positions!$L$6:$L$35,INT((ROW()-5)/2)+1)))</f>
        <v/>
      </c>
      <c r="M16" s="23">
        <f>IF(INDEX(Positions!$B$6:$B$35,INT((ROW()-5)/2)+1)="","",IF(MOD(ROW()-5,2)=0,0,INDEX(Positions!$M$6:$M$35,INT((ROW()-5)/2)+1)))</f>
        <v/>
      </c>
      <c r="N16" s="23">
        <f>IF(INDEX(Positions!$B$6:$B$35,INT((ROW()-5)/2)+1)="","",IF(MOD(ROW()-5,2)=0,INDEX(Positions!$Z$6:$Z$35,INT((ROW()-5)/2)+1),INDEX(Positions!$AA$6:$AA$35,INT((ROW()-5)/2)+1)))</f>
        <v/>
      </c>
      <c r="O16" s="22">
        <f>IF(INDEX(Positions!$B$6:$B$35,INT((ROW()-5)/2)+1)="","",IF(MOD(ROW()-5,2)=0,INDEX(Positions!$V$6:$V$35,INT((ROW()-5)/2)+1),INDEX(Positions!$W$6:$W$35,INT((ROW()-5)/2)+1)))</f>
        <v/>
      </c>
    </row>
    <row r="17">
      <c r="A17" s="21">
        <f>IF(INDEX(Positions!$B$6:$B$35,INT((ROW()-5)/2)+1)="","",IF(MOD(ROW()-5,2)=0,INDEX(Positions!$A$6:$A$35,INT((ROW()-5)/2)+1),INDEX(Positions!$I$6:$I$35,INT((ROW()-5)/2)+1)))</f>
        <v/>
      </c>
      <c r="B17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7" s="22">
        <f>IF(INDEX(Positions!$B$6:$B$35,INT((ROW()-5)/2)+1)="","",INDEX(Positions!$C$6:$C$35,INT((ROW()-5)/2)+1))</f>
        <v/>
      </c>
      <c r="D17" s="22">
        <f>IF(INDEX(Positions!$B$6:$B$35,INT((ROW()-5)/2)+1)="","",IF(MOD(ROW()-5,2)=0,INDEX(Positions!$D$6:$D$35,INT((ROW()-5)/2)+1),IF(INDEX(Positions!$D$6:$D$35,INT((ROW()-5)/2)+1)="buy","sell","buy")))</f>
        <v/>
      </c>
      <c r="E17" s="22">
        <f>IF(INDEX(Positions!$B$6:$B$35,INT((ROW()-5)/2)+1)="","",IF(MOD(ROW()-5,2)=0,"in","out"))</f>
        <v/>
      </c>
      <c r="F17" s="23">
        <f>IF(INDEX(Positions!$B$6:$B$35,INT((ROW()-5)/2)+1)="","",INDEX(Positions!$E$6:$E$35,INT((ROW()-5)/2)+1))</f>
        <v/>
      </c>
      <c r="G17" s="23">
        <f>IF(INDEX(Positions!$B$6:$B$35,INT((ROW()-5)/2)+1)="","",IF(MOD(ROW()-5,2)=0,INDEX(Positions!$F$6:$F$35,INT((ROW()-5)/2)+1),INDEX(Positions!$J$6:$J$35,INT((ROW()-5)/2)+1)))</f>
        <v/>
      </c>
      <c r="H17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7" s="22">
        <f>0</f>
        <v/>
      </c>
      <c r="J17" s="23">
        <f>IF(INDEX(Positions!$B$6:$B$35,INT((ROW()-5)/2)+1)="","",IF(MOD(ROW()-5,2)=0,0,INDEX(Positions!$K$6:$K$35,INT((ROW()-5)/2)+1)))</f>
        <v/>
      </c>
      <c r="K17" s="23">
        <f>IF(INDEX(Positions!$B$6:$B$35,INT((ROW()-5)/2)+1)="","",IF(MOD(ROW()-5,2)=0,0,INDEX(Positions!$X$6:$X$35,INT((ROW()-5)/2)+1)))</f>
        <v/>
      </c>
      <c r="L17" s="23">
        <f>IF(INDEX(Positions!$B$6:$B$35,INT((ROW()-5)/2)+1)="","",IF(MOD(ROW()-5,2)=0,0,INDEX(Positions!$L$6:$L$35,INT((ROW()-5)/2)+1)))</f>
        <v/>
      </c>
      <c r="M17" s="23">
        <f>IF(INDEX(Positions!$B$6:$B$35,INT((ROW()-5)/2)+1)="","",IF(MOD(ROW()-5,2)=0,0,INDEX(Positions!$M$6:$M$35,INT((ROW()-5)/2)+1)))</f>
        <v/>
      </c>
      <c r="N17" s="23">
        <f>IF(INDEX(Positions!$B$6:$B$35,INT((ROW()-5)/2)+1)="","",IF(MOD(ROW()-5,2)=0,INDEX(Positions!$Z$6:$Z$35,INT((ROW()-5)/2)+1),INDEX(Positions!$AA$6:$AA$35,INT((ROW()-5)/2)+1)))</f>
        <v/>
      </c>
      <c r="O17" s="22">
        <f>IF(INDEX(Positions!$B$6:$B$35,INT((ROW()-5)/2)+1)="","",IF(MOD(ROW()-5,2)=0,INDEX(Positions!$V$6:$V$35,INT((ROW()-5)/2)+1),INDEX(Positions!$W$6:$W$35,INT((ROW()-5)/2)+1)))</f>
        <v/>
      </c>
    </row>
    <row r="18">
      <c r="A18" s="21">
        <f>IF(INDEX(Positions!$B$6:$B$35,INT((ROW()-5)/2)+1)="","",IF(MOD(ROW()-5,2)=0,INDEX(Positions!$A$6:$A$35,INT((ROW()-5)/2)+1),INDEX(Positions!$I$6:$I$35,INT((ROW()-5)/2)+1)))</f>
        <v/>
      </c>
      <c r="B18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8" s="22">
        <f>IF(INDEX(Positions!$B$6:$B$35,INT((ROW()-5)/2)+1)="","",INDEX(Positions!$C$6:$C$35,INT((ROW()-5)/2)+1))</f>
        <v/>
      </c>
      <c r="D18" s="22">
        <f>IF(INDEX(Positions!$B$6:$B$35,INT((ROW()-5)/2)+1)="","",IF(MOD(ROW()-5,2)=0,INDEX(Positions!$D$6:$D$35,INT((ROW()-5)/2)+1),IF(INDEX(Positions!$D$6:$D$35,INT((ROW()-5)/2)+1)="buy","sell","buy")))</f>
        <v/>
      </c>
      <c r="E18" s="22">
        <f>IF(INDEX(Positions!$B$6:$B$35,INT((ROW()-5)/2)+1)="","",IF(MOD(ROW()-5,2)=0,"in","out"))</f>
        <v/>
      </c>
      <c r="F18" s="23">
        <f>IF(INDEX(Positions!$B$6:$B$35,INT((ROW()-5)/2)+1)="","",INDEX(Positions!$E$6:$E$35,INT((ROW()-5)/2)+1))</f>
        <v/>
      </c>
      <c r="G18" s="23">
        <f>IF(INDEX(Positions!$B$6:$B$35,INT((ROW()-5)/2)+1)="","",IF(MOD(ROW()-5,2)=0,INDEX(Positions!$F$6:$F$35,INT((ROW()-5)/2)+1),INDEX(Positions!$J$6:$J$35,INT((ROW()-5)/2)+1)))</f>
        <v/>
      </c>
      <c r="H18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8" s="22">
        <f>0</f>
        <v/>
      </c>
      <c r="J18" s="23">
        <f>IF(INDEX(Positions!$B$6:$B$35,INT((ROW()-5)/2)+1)="","",IF(MOD(ROW()-5,2)=0,0,INDEX(Positions!$K$6:$K$35,INT((ROW()-5)/2)+1)))</f>
        <v/>
      </c>
      <c r="K18" s="23">
        <f>IF(INDEX(Positions!$B$6:$B$35,INT((ROW()-5)/2)+1)="","",IF(MOD(ROW()-5,2)=0,0,INDEX(Positions!$X$6:$X$35,INT((ROW()-5)/2)+1)))</f>
        <v/>
      </c>
      <c r="L18" s="23">
        <f>IF(INDEX(Positions!$B$6:$B$35,INT((ROW()-5)/2)+1)="","",IF(MOD(ROW()-5,2)=0,0,INDEX(Positions!$L$6:$L$35,INT((ROW()-5)/2)+1)))</f>
        <v/>
      </c>
      <c r="M18" s="23">
        <f>IF(INDEX(Positions!$B$6:$B$35,INT((ROW()-5)/2)+1)="","",IF(MOD(ROW()-5,2)=0,0,INDEX(Positions!$M$6:$M$35,INT((ROW()-5)/2)+1)))</f>
        <v/>
      </c>
      <c r="N18" s="23">
        <f>IF(INDEX(Positions!$B$6:$B$35,INT((ROW()-5)/2)+1)="","",IF(MOD(ROW()-5,2)=0,INDEX(Positions!$Z$6:$Z$35,INT((ROW()-5)/2)+1),INDEX(Positions!$AA$6:$AA$35,INT((ROW()-5)/2)+1)))</f>
        <v/>
      </c>
      <c r="O18" s="22">
        <f>IF(INDEX(Positions!$B$6:$B$35,INT((ROW()-5)/2)+1)="","",IF(MOD(ROW()-5,2)=0,INDEX(Positions!$V$6:$V$35,INT((ROW()-5)/2)+1),INDEX(Positions!$W$6:$W$35,INT((ROW()-5)/2)+1)))</f>
        <v/>
      </c>
    </row>
    <row r="19">
      <c r="A19" s="21">
        <f>IF(INDEX(Positions!$B$6:$B$35,INT((ROW()-5)/2)+1)="","",IF(MOD(ROW()-5,2)=0,INDEX(Positions!$A$6:$A$35,INT((ROW()-5)/2)+1),INDEX(Positions!$I$6:$I$35,INT((ROW()-5)/2)+1)))</f>
        <v/>
      </c>
      <c r="B19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19" s="22">
        <f>IF(INDEX(Positions!$B$6:$B$35,INT((ROW()-5)/2)+1)="","",INDEX(Positions!$C$6:$C$35,INT((ROW()-5)/2)+1))</f>
        <v/>
      </c>
      <c r="D19" s="22">
        <f>IF(INDEX(Positions!$B$6:$B$35,INT((ROW()-5)/2)+1)="","",IF(MOD(ROW()-5,2)=0,INDEX(Positions!$D$6:$D$35,INT((ROW()-5)/2)+1),IF(INDEX(Positions!$D$6:$D$35,INT((ROW()-5)/2)+1)="buy","sell","buy")))</f>
        <v/>
      </c>
      <c r="E19" s="22">
        <f>IF(INDEX(Positions!$B$6:$B$35,INT((ROW()-5)/2)+1)="","",IF(MOD(ROW()-5,2)=0,"in","out"))</f>
        <v/>
      </c>
      <c r="F19" s="23">
        <f>IF(INDEX(Positions!$B$6:$B$35,INT((ROW()-5)/2)+1)="","",INDEX(Positions!$E$6:$E$35,INT((ROW()-5)/2)+1))</f>
        <v/>
      </c>
      <c r="G19" s="23">
        <f>IF(INDEX(Positions!$B$6:$B$35,INT((ROW()-5)/2)+1)="","",IF(MOD(ROW()-5,2)=0,INDEX(Positions!$F$6:$F$35,INT((ROW()-5)/2)+1),INDEX(Positions!$J$6:$J$35,INT((ROW()-5)/2)+1)))</f>
        <v/>
      </c>
      <c r="H19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19" s="22">
        <f>0</f>
        <v/>
      </c>
      <c r="J19" s="23">
        <f>IF(INDEX(Positions!$B$6:$B$35,INT((ROW()-5)/2)+1)="","",IF(MOD(ROW()-5,2)=0,0,INDEX(Positions!$K$6:$K$35,INT((ROW()-5)/2)+1)))</f>
        <v/>
      </c>
      <c r="K19" s="23">
        <f>IF(INDEX(Positions!$B$6:$B$35,INT((ROW()-5)/2)+1)="","",IF(MOD(ROW()-5,2)=0,0,INDEX(Positions!$X$6:$X$35,INT((ROW()-5)/2)+1)))</f>
        <v/>
      </c>
      <c r="L19" s="23">
        <f>IF(INDEX(Positions!$B$6:$B$35,INT((ROW()-5)/2)+1)="","",IF(MOD(ROW()-5,2)=0,0,INDEX(Positions!$L$6:$L$35,INT((ROW()-5)/2)+1)))</f>
        <v/>
      </c>
      <c r="M19" s="23">
        <f>IF(INDEX(Positions!$B$6:$B$35,INT((ROW()-5)/2)+1)="","",IF(MOD(ROW()-5,2)=0,0,INDEX(Positions!$M$6:$M$35,INT((ROW()-5)/2)+1)))</f>
        <v/>
      </c>
      <c r="N19" s="23">
        <f>IF(INDEX(Positions!$B$6:$B$35,INT((ROW()-5)/2)+1)="","",IF(MOD(ROW()-5,2)=0,INDEX(Positions!$Z$6:$Z$35,INT((ROW()-5)/2)+1),INDEX(Positions!$AA$6:$AA$35,INT((ROW()-5)/2)+1)))</f>
        <v/>
      </c>
      <c r="O19" s="22">
        <f>IF(INDEX(Positions!$B$6:$B$35,INT((ROW()-5)/2)+1)="","",IF(MOD(ROW()-5,2)=0,INDEX(Positions!$V$6:$V$35,INT((ROW()-5)/2)+1),INDEX(Positions!$W$6:$W$35,INT((ROW()-5)/2)+1)))</f>
        <v/>
      </c>
    </row>
    <row r="20">
      <c r="A20" s="21">
        <f>IF(INDEX(Positions!$B$6:$B$35,INT((ROW()-5)/2)+1)="","",IF(MOD(ROW()-5,2)=0,INDEX(Positions!$A$6:$A$35,INT((ROW()-5)/2)+1),INDEX(Positions!$I$6:$I$35,INT((ROW()-5)/2)+1)))</f>
        <v/>
      </c>
      <c r="B20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0" s="22">
        <f>IF(INDEX(Positions!$B$6:$B$35,INT((ROW()-5)/2)+1)="","",INDEX(Positions!$C$6:$C$35,INT((ROW()-5)/2)+1))</f>
        <v/>
      </c>
      <c r="D20" s="22">
        <f>IF(INDEX(Positions!$B$6:$B$35,INT((ROW()-5)/2)+1)="","",IF(MOD(ROW()-5,2)=0,INDEX(Positions!$D$6:$D$35,INT((ROW()-5)/2)+1),IF(INDEX(Positions!$D$6:$D$35,INT((ROW()-5)/2)+1)="buy","sell","buy")))</f>
        <v/>
      </c>
      <c r="E20" s="22">
        <f>IF(INDEX(Positions!$B$6:$B$35,INT((ROW()-5)/2)+1)="","",IF(MOD(ROW()-5,2)=0,"in","out"))</f>
        <v/>
      </c>
      <c r="F20" s="23">
        <f>IF(INDEX(Positions!$B$6:$B$35,INT((ROW()-5)/2)+1)="","",INDEX(Positions!$E$6:$E$35,INT((ROW()-5)/2)+1))</f>
        <v/>
      </c>
      <c r="G20" s="23">
        <f>IF(INDEX(Positions!$B$6:$B$35,INT((ROW()-5)/2)+1)="","",IF(MOD(ROW()-5,2)=0,INDEX(Positions!$F$6:$F$35,INT((ROW()-5)/2)+1),INDEX(Positions!$J$6:$J$35,INT((ROW()-5)/2)+1)))</f>
        <v/>
      </c>
      <c r="H20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0" s="22">
        <f>0</f>
        <v/>
      </c>
      <c r="J20" s="23">
        <f>IF(INDEX(Positions!$B$6:$B$35,INT((ROW()-5)/2)+1)="","",IF(MOD(ROW()-5,2)=0,0,INDEX(Positions!$K$6:$K$35,INT((ROW()-5)/2)+1)))</f>
        <v/>
      </c>
      <c r="K20" s="23">
        <f>IF(INDEX(Positions!$B$6:$B$35,INT((ROW()-5)/2)+1)="","",IF(MOD(ROW()-5,2)=0,0,INDEX(Positions!$X$6:$X$35,INT((ROW()-5)/2)+1)))</f>
        <v/>
      </c>
      <c r="L20" s="23">
        <f>IF(INDEX(Positions!$B$6:$B$35,INT((ROW()-5)/2)+1)="","",IF(MOD(ROW()-5,2)=0,0,INDEX(Positions!$L$6:$L$35,INT((ROW()-5)/2)+1)))</f>
        <v/>
      </c>
      <c r="M20" s="23">
        <f>IF(INDEX(Positions!$B$6:$B$35,INT((ROW()-5)/2)+1)="","",IF(MOD(ROW()-5,2)=0,0,INDEX(Positions!$M$6:$M$35,INT((ROW()-5)/2)+1)))</f>
        <v/>
      </c>
      <c r="N20" s="23">
        <f>IF(INDEX(Positions!$B$6:$B$35,INT((ROW()-5)/2)+1)="","",IF(MOD(ROW()-5,2)=0,INDEX(Positions!$Z$6:$Z$35,INT((ROW()-5)/2)+1),INDEX(Positions!$AA$6:$AA$35,INT((ROW()-5)/2)+1)))</f>
        <v/>
      </c>
      <c r="O20" s="22">
        <f>IF(INDEX(Positions!$B$6:$B$35,INT((ROW()-5)/2)+1)="","",IF(MOD(ROW()-5,2)=0,INDEX(Positions!$V$6:$V$35,INT((ROW()-5)/2)+1),INDEX(Positions!$W$6:$W$35,INT((ROW()-5)/2)+1)))</f>
        <v/>
      </c>
    </row>
    <row r="21">
      <c r="A21" s="21">
        <f>IF(INDEX(Positions!$B$6:$B$35,INT((ROW()-5)/2)+1)="","",IF(MOD(ROW()-5,2)=0,INDEX(Positions!$A$6:$A$35,INT((ROW()-5)/2)+1),INDEX(Positions!$I$6:$I$35,INT((ROW()-5)/2)+1)))</f>
        <v/>
      </c>
      <c r="B21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1" s="22">
        <f>IF(INDEX(Positions!$B$6:$B$35,INT((ROW()-5)/2)+1)="","",INDEX(Positions!$C$6:$C$35,INT((ROW()-5)/2)+1))</f>
        <v/>
      </c>
      <c r="D21" s="22">
        <f>IF(INDEX(Positions!$B$6:$B$35,INT((ROW()-5)/2)+1)="","",IF(MOD(ROW()-5,2)=0,INDEX(Positions!$D$6:$D$35,INT((ROW()-5)/2)+1),IF(INDEX(Positions!$D$6:$D$35,INT((ROW()-5)/2)+1)="buy","sell","buy")))</f>
        <v/>
      </c>
      <c r="E21" s="22">
        <f>IF(INDEX(Positions!$B$6:$B$35,INT((ROW()-5)/2)+1)="","",IF(MOD(ROW()-5,2)=0,"in","out"))</f>
        <v/>
      </c>
      <c r="F21" s="23">
        <f>IF(INDEX(Positions!$B$6:$B$35,INT((ROW()-5)/2)+1)="","",INDEX(Positions!$E$6:$E$35,INT((ROW()-5)/2)+1))</f>
        <v/>
      </c>
      <c r="G21" s="23">
        <f>IF(INDEX(Positions!$B$6:$B$35,INT((ROW()-5)/2)+1)="","",IF(MOD(ROW()-5,2)=0,INDEX(Positions!$F$6:$F$35,INT((ROW()-5)/2)+1),INDEX(Positions!$J$6:$J$35,INT((ROW()-5)/2)+1)))</f>
        <v/>
      </c>
      <c r="H21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1" s="22">
        <f>0</f>
        <v/>
      </c>
      <c r="J21" s="23">
        <f>IF(INDEX(Positions!$B$6:$B$35,INT((ROW()-5)/2)+1)="","",IF(MOD(ROW()-5,2)=0,0,INDEX(Positions!$K$6:$K$35,INT((ROW()-5)/2)+1)))</f>
        <v/>
      </c>
      <c r="K21" s="23">
        <f>IF(INDEX(Positions!$B$6:$B$35,INT((ROW()-5)/2)+1)="","",IF(MOD(ROW()-5,2)=0,0,INDEX(Positions!$X$6:$X$35,INT((ROW()-5)/2)+1)))</f>
        <v/>
      </c>
      <c r="L21" s="23">
        <f>IF(INDEX(Positions!$B$6:$B$35,INT((ROW()-5)/2)+1)="","",IF(MOD(ROW()-5,2)=0,0,INDEX(Positions!$L$6:$L$35,INT((ROW()-5)/2)+1)))</f>
        <v/>
      </c>
      <c r="M21" s="23">
        <f>IF(INDEX(Positions!$B$6:$B$35,INT((ROW()-5)/2)+1)="","",IF(MOD(ROW()-5,2)=0,0,INDEX(Positions!$M$6:$M$35,INT((ROW()-5)/2)+1)))</f>
        <v/>
      </c>
      <c r="N21" s="23">
        <f>IF(INDEX(Positions!$B$6:$B$35,INT((ROW()-5)/2)+1)="","",IF(MOD(ROW()-5,2)=0,INDEX(Positions!$Z$6:$Z$35,INT((ROW()-5)/2)+1),INDEX(Positions!$AA$6:$AA$35,INT((ROW()-5)/2)+1)))</f>
        <v/>
      </c>
      <c r="O21" s="22">
        <f>IF(INDEX(Positions!$B$6:$B$35,INT((ROW()-5)/2)+1)="","",IF(MOD(ROW()-5,2)=0,INDEX(Positions!$V$6:$V$35,INT((ROW()-5)/2)+1),INDEX(Positions!$W$6:$W$35,INT((ROW()-5)/2)+1)))</f>
        <v/>
      </c>
    </row>
    <row r="22">
      <c r="A22" s="21">
        <f>IF(INDEX(Positions!$B$6:$B$35,INT((ROW()-5)/2)+1)="","",IF(MOD(ROW()-5,2)=0,INDEX(Positions!$A$6:$A$35,INT((ROW()-5)/2)+1),INDEX(Positions!$I$6:$I$35,INT((ROW()-5)/2)+1)))</f>
        <v/>
      </c>
      <c r="B22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2" s="22">
        <f>IF(INDEX(Positions!$B$6:$B$35,INT((ROW()-5)/2)+1)="","",INDEX(Positions!$C$6:$C$35,INT((ROW()-5)/2)+1))</f>
        <v/>
      </c>
      <c r="D22" s="22">
        <f>IF(INDEX(Positions!$B$6:$B$35,INT((ROW()-5)/2)+1)="","",IF(MOD(ROW()-5,2)=0,INDEX(Positions!$D$6:$D$35,INT((ROW()-5)/2)+1),IF(INDEX(Positions!$D$6:$D$35,INT((ROW()-5)/2)+1)="buy","sell","buy")))</f>
        <v/>
      </c>
      <c r="E22" s="22">
        <f>IF(INDEX(Positions!$B$6:$B$35,INT((ROW()-5)/2)+1)="","",IF(MOD(ROW()-5,2)=0,"in","out"))</f>
        <v/>
      </c>
      <c r="F22" s="23">
        <f>IF(INDEX(Positions!$B$6:$B$35,INT((ROW()-5)/2)+1)="","",INDEX(Positions!$E$6:$E$35,INT((ROW()-5)/2)+1))</f>
        <v/>
      </c>
      <c r="G22" s="23">
        <f>IF(INDEX(Positions!$B$6:$B$35,INT((ROW()-5)/2)+1)="","",IF(MOD(ROW()-5,2)=0,INDEX(Positions!$F$6:$F$35,INT((ROW()-5)/2)+1),INDEX(Positions!$J$6:$J$35,INT((ROW()-5)/2)+1)))</f>
        <v/>
      </c>
      <c r="H22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2" s="22">
        <f>0</f>
        <v/>
      </c>
      <c r="J22" s="23">
        <f>IF(INDEX(Positions!$B$6:$B$35,INT((ROW()-5)/2)+1)="","",IF(MOD(ROW()-5,2)=0,0,INDEX(Positions!$K$6:$K$35,INT((ROW()-5)/2)+1)))</f>
        <v/>
      </c>
      <c r="K22" s="23">
        <f>IF(INDEX(Positions!$B$6:$B$35,INT((ROW()-5)/2)+1)="","",IF(MOD(ROW()-5,2)=0,0,INDEX(Positions!$X$6:$X$35,INT((ROW()-5)/2)+1)))</f>
        <v/>
      </c>
      <c r="L22" s="23">
        <f>IF(INDEX(Positions!$B$6:$B$35,INT((ROW()-5)/2)+1)="","",IF(MOD(ROW()-5,2)=0,0,INDEX(Positions!$L$6:$L$35,INT((ROW()-5)/2)+1)))</f>
        <v/>
      </c>
      <c r="M22" s="23">
        <f>IF(INDEX(Positions!$B$6:$B$35,INT((ROW()-5)/2)+1)="","",IF(MOD(ROW()-5,2)=0,0,INDEX(Positions!$M$6:$M$35,INT((ROW()-5)/2)+1)))</f>
        <v/>
      </c>
      <c r="N22" s="23">
        <f>IF(INDEX(Positions!$B$6:$B$35,INT((ROW()-5)/2)+1)="","",IF(MOD(ROW()-5,2)=0,INDEX(Positions!$Z$6:$Z$35,INT((ROW()-5)/2)+1),INDEX(Positions!$AA$6:$AA$35,INT((ROW()-5)/2)+1)))</f>
        <v/>
      </c>
      <c r="O22" s="22">
        <f>IF(INDEX(Positions!$B$6:$B$35,INT((ROW()-5)/2)+1)="","",IF(MOD(ROW()-5,2)=0,INDEX(Positions!$V$6:$V$35,INT((ROW()-5)/2)+1),INDEX(Positions!$W$6:$W$35,INT((ROW()-5)/2)+1)))</f>
        <v/>
      </c>
    </row>
    <row r="23">
      <c r="A23" s="21">
        <f>IF(INDEX(Positions!$B$6:$B$35,INT((ROW()-5)/2)+1)="","",IF(MOD(ROW()-5,2)=0,INDEX(Positions!$A$6:$A$35,INT((ROW()-5)/2)+1),INDEX(Positions!$I$6:$I$35,INT((ROW()-5)/2)+1)))</f>
        <v/>
      </c>
      <c r="B23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3" s="22">
        <f>IF(INDEX(Positions!$B$6:$B$35,INT((ROW()-5)/2)+1)="","",INDEX(Positions!$C$6:$C$35,INT((ROW()-5)/2)+1))</f>
        <v/>
      </c>
      <c r="D23" s="22">
        <f>IF(INDEX(Positions!$B$6:$B$35,INT((ROW()-5)/2)+1)="","",IF(MOD(ROW()-5,2)=0,INDEX(Positions!$D$6:$D$35,INT((ROW()-5)/2)+1),IF(INDEX(Positions!$D$6:$D$35,INT((ROW()-5)/2)+1)="buy","sell","buy")))</f>
        <v/>
      </c>
      <c r="E23" s="22">
        <f>IF(INDEX(Positions!$B$6:$B$35,INT((ROW()-5)/2)+1)="","",IF(MOD(ROW()-5,2)=0,"in","out"))</f>
        <v/>
      </c>
      <c r="F23" s="23">
        <f>IF(INDEX(Positions!$B$6:$B$35,INT((ROW()-5)/2)+1)="","",INDEX(Positions!$E$6:$E$35,INT((ROW()-5)/2)+1))</f>
        <v/>
      </c>
      <c r="G23" s="23">
        <f>IF(INDEX(Positions!$B$6:$B$35,INT((ROW()-5)/2)+1)="","",IF(MOD(ROW()-5,2)=0,INDEX(Positions!$F$6:$F$35,INT((ROW()-5)/2)+1),INDEX(Positions!$J$6:$J$35,INT((ROW()-5)/2)+1)))</f>
        <v/>
      </c>
      <c r="H23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3" s="22">
        <f>0</f>
        <v/>
      </c>
      <c r="J23" s="23">
        <f>IF(INDEX(Positions!$B$6:$B$35,INT((ROW()-5)/2)+1)="","",IF(MOD(ROW()-5,2)=0,0,INDEX(Positions!$K$6:$K$35,INT((ROW()-5)/2)+1)))</f>
        <v/>
      </c>
      <c r="K23" s="23">
        <f>IF(INDEX(Positions!$B$6:$B$35,INT((ROW()-5)/2)+1)="","",IF(MOD(ROW()-5,2)=0,0,INDEX(Positions!$X$6:$X$35,INT((ROW()-5)/2)+1)))</f>
        <v/>
      </c>
      <c r="L23" s="23">
        <f>IF(INDEX(Positions!$B$6:$B$35,INT((ROW()-5)/2)+1)="","",IF(MOD(ROW()-5,2)=0,0,INDEX(Positions!$L$6:$L$35,INT((ROW()-5)/2)+1)))</f>
        <v/>
      </c>
      <c r="M23" s="23">
        <f>IF(INDEX(Positions!$B$6:$B$35,INT((ROW()-5)/2)+1)="","",IF(MOD(ROW()-5,2)=0,0,INDEX(Positions!$M$6:$M$35,INT((ROW()-5)/2)+1)))</f>
        <v/>
      </c>
      <c r="N23" s="23">
        <f>IF(INDEX(Positions!$B$6:$B$35,INT((ROW()-5)/2)+1)="","",IF(MOD(ROW()-5,2)=0,INDEX(Positions!$Z$6:$Z$35,INT((ROW()-5)/2)+1),INDEX(Positions!$AA$6:$AA$35,INT((ROW()-5)/2)+1)))</f>
        <v/>
      </c>
      <c r="O23" s="22">
        <f>IF(INDEX(Positions!$B$6:$B$35,INT((ROW()-5)/2)+1)="","",IF(MOD(ROW()-5,2)=0,INDEX(Positions!$V$6:$V$35,INT((ROW()-5)/2)+1),INDEX(Positions!$W$6:$W$35,INT((ROW()-5)/2)+1)))</f>
        <v/>
      </c>
    </row>
    <row r="24">
      <c r="A24" s="21">
        <f>IF(INDEX(Positions!$B$6:$B$35,INT((ROW()-5)/2)+1)="","",IF(MOD(ROW()-5,2)=0,INDEX(Positions!$A$6:$A$35,INT((ROW()-5)/2)+1),INDEX(Positions!$I$6:$I$35,INT((ROW()-5)/2)+1)))</f>
        <v/>
      </c>
      <c r="B24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4" s="22">
        <f>IF(INDEX(Positions!$B$6:$B$35,INT((ROW()-5)/2)+1)="","",INDEX(Positions!$C$6:$C$35,INT((ROW()-5)/2)+1))</f>
        <v/>
      </c>
      <c r="D24" s="22">
        <f>IF(INDEX(Positions!$B$6:$B$35,INT((ROW()-5)/2)+1)="","",IF(MOD(ROW()-5,2)=0,INDEX(Positions!$D$6:$D$35,INT((ROW()-5)/2)+1),IF(INDEX(Positions!$D$6:$D$35,INT((ROW()-5)/2)+1)="buy","sell","buy")))</f>
        <v/>
      </c>
      <c r="E24" s="22">
        <f>IF(INDEX(Positions!$B$6:$B$35,INT((ROW()-5)/2)+1)="","",IF(MOD(ROW()-5,2)=0,"in","out"))</f>
        <v/>
      </c>
      <c r="F24" s="23">
        <f>IF(INDEX(Positions!$B$6:$B$35,INT((ROW()-5)/2)+1)="","",INDEX(Positions!$E$6:$E$35,INT((ROW()-5)/2)+1))</f>
        <v/>
      </c>
      <c r="G24" s="23">
        <f>IF(INDEX(Positions!$B$6:$B$35,INT((ROW()-5)/2)+1)="","",IF(MOD(ROW()-5,2)=0,INDEX(Positions!$F$6:$F$35,INT((ROW()-5)/2)+1),INDEX(Positions!$J$6:$J$35,INT((ROW()-5)/2)+1)))</f>
        <v/>
      </c>
      <c r="H24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4" s="22">
        <f>0</f>
        <v/>
      </c>
      <c r="J24" s="23">
        <f>IF(INDEX(Positions!$B$6:$B$35,INT((ROW()-5)/2)+1)="","",IF(MOD(ROW()-5,2)=0,0,INDEX(Positions!$K$6:$K$35,INT((ROW()-5)/2)+1)))</f>
        <v/>
      </c>
      <c r="K24" s="23">
        <f>IF(INDEX(Positions!$B$6:$B$35,INT((ROW()-5)/2)+1)="","",IF(MOD(ROW()-5,2)=0,0,INDEX(Positions!$X$6:$X$35,INT((ROW()-5)/2)+1)))</f>
        <v/>
      </c>
      <c r="L24" s="23">
        <f>IF(INDEX(Positions!$B$6:$B$35,INT((ROW()-5)/2)+1)="","",IF(MOD(ROW()-5,2)=0,0,INDEX(Positions!$L$6:$L$35,INT((ROW()-5)/2)+1)))</f>
        <v/>
      </c>
      <c r="M24" s="23">
        <f>IF(INDEX(Positions!$B$6:$B$35,INT((ROW()-5)/2)+1)="","",IF(MOD(ROW()-5,2)=0,0,INDEX(Positions!$M$6:$M$35,INT((ROW()-5)/2)+1)))</f>
        <v/>
      </c>
      <c r="N24" s="23">
        <f>IF(INDEX(Positions!$B$6:$B$35,INT((ROW()-5)/2)+1)="","",IF(MOD(ROW()-5,2)=0,INDEX(Positions!$Z$6:$Z$35,INT((ROW()-5)/2)+1),INDEX(Positions!$AA$6:$AA$35,INT((ROW()-5)/2)+1)))</f>
        <v/>
      </c>
      <c r="O24" s="22">
        <f>IF(INDEX(Positions!$B$6:$B$35,INT((ROW()-5)/2)+1)="","",IF(MOD(ROW()-5,2)=0,INDEX(Positions!$V$6:$V$35,INT((ROW()-5)/2)+1),INDEX(Positions!$W$6:$W$35,INT((ROW()-5)/2)+1)))</f>
        <v/>
      </c>
    </row>
    <row r="25">
      <c r="A25" s="21">
        <f>IF(INDEX(Positions!$B$6:$B$35,INT((ROW()-5)/2)+1)="","",IF(MOD(ROW()-5,2)=0,INDEX(Positions!$A$6:$A$35,INT((ROW()-5)/2)+1),INDEX(Positions!$I$6:$I$35,INT((ROW()-5)/2)+1)))</f>
        <v/>
      </c>
      <c r="B25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5" s="22">
        <f>IF(INDEX(Positions!$B$6:$B$35,INT((ROW()-5)/2)+1)="","",INDEX(Positions!$C$6:$C$35,INT((ROW()-5)/2)+1))</f>
        <v/>
      </c>
      <c r="D25" s="22">
        <f>IF(INDEX(Positions!$B$6:$B$35,INT((ROW()-5)/2)+1)="","",IF(MOD(ROW()-5,2)=0,INDEX(Positions!$D$6:$D$35,INT((ROW()-5)/2)+1),IF(INDEX(Positions!$D$6:$D$35,INT((ROW()-5)/2)+1)="buy","sell","buy")))</f>
        <v/>
      </c>
      <c r="E25" s="22">
        <f>IF(INDEX(Positions!$B$6:$B$35,INT((ROW()-5)/2)+1)="","",IF(MOD(ROW()-5,2)=0,"in","out"))</f>
        <v/>
      </c>
      <c r="F25" s="23">
        <f>IF(INDEX(Positions!$B$6:$B$35,INT((ROW()-5)/2)+1)="","",INDEX(Positions!$E$6:$E$35,INT((ROW()-5)/2)+1))</f>
        <v/>
      </c>
      <c r="G25" s="23">
        <f>IF(INDEX(Positions!$B$6:$B$35,INT((ROW()-5)/2)+1)="","",IF(MOD(ROW()-5,2)=0,INDEX(Positions!$F$6:$F$35,INT((ROW()-5)/2)+1),INDEX(Positions!$J$6:$J$35,INT((ROW()-5)/2)+1)))</f>
        <v/>
      </c>
      <c r="H25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5" s="22">
        <f>0</f>
        <v/>
      </c>
      <c r="J25" s="23">
        <f>IF(INDEX(Positions!$B$6:$B$35,INT((ROW()-5)/2)+1)="","",IF(MOD(ROW()-5,2)=0,0,INDEX(Positions!$K$6:$K$35,INT((ROW()-5)/2)+1)))</f>
        <v/>
      </c>
      <c r="K25" s="23">
        <f>IF(INDEX(Positions!$B$6:$B$35,INT((ROW()-5)/2)+1)="","",IF(MOD(ROW()-5,2)=0,0,INDEX(Positions!$X$6:$X$35,INT((ROW()-5)/2)+1)))</f>
        <v/>
      </c>
      <c r="L25" s="23">
        <f>IF(INDEX(Positions!$B$6:$B$35,INT((ROW()-5)/2)+1)="","",IF(MOD(ROW()-5,2)=0,0,INDEX(Positions!$L$6:$L$35,INT((ROW()-5)/2)+1)))</f>
        <v/>
      </c>
      <c r="M25" s="23">
        <f>IF(INDEX(Positions!$B$6:$B$35,INT((ROW()-5)/2)+1)="","",IF(MOD(ROW()-5,2)=0,0,INDEX(Positions!$M$6:$M$35,INT((ROW()-5)/2)+1)))</f>
        <v/>
      </c>
      <c r="N25" s="23">
        <f>IF(INDEX(Positions!$B$6:$B$35,INT((ROW()-5)/2)+1)="","",IF(MOD(ROW()-5,2)=0,INDEX(Positions!$Z$6:$Z$35,INT((ROW()-5)/2)+1),INDEX(Positions!$AA$6:$AA$35,INT((ROW()-5)/2)+1)))</f>
        <v/>
      </c>
      <c r="O25" s="22">
        <f>IF(INDEX(Positions!$B$6:$B$35,INT((ROW()-5)/2)+1)="","",IF(MOD(ROW()-5,2)=0,INDEX(Positions!$V$6:$V$35,INT((ROW()-5)/2)+1),INDEX(Positions!$W$6:$W$35,INT((ROW()-5)/2)+1)))</f>
        <v/>
      </c>
    </row>
    <row r="26">
      <c r="A26" s="21">
        <f>IF(INDEX(Positions!$B$6:$B$35,INT((ROW()-5)/2)+1)="","",IF(MOD(ROW()-5,2)=0,INDEX(Positions!$A$6:$A$35,INT((ROW()-5)/2)+1),INDEX(Positions!$I$6:$I$35,INT((ROW()-5)/2)+1)))</f>
        <v/>
      </c>
      <c r="B26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6" s="22">
        <f>IF(INDEX(Positions!$B$6:$B$35,INT((ROW()-5)/2)+1)="","",INDEX(Positions!$C$6:$C$35,INT((ROW()-5)/2)+1))</f>
        <v/>
      </c>
      <c r="D26" s="22">
        <f>IF(INDEX(Positions!$B$6:$B$35,INT((ROW()-5)/2)+1)="","",IF(MOD(ROW()-5,2)=0,INDEX(Positions!$D$6:$D$35,INT((ROW()-5)/2)+1),IF(INDEX(Positions!$D$6:$D$35,INT((ROW()-5)/2)+1)="buy","sell","buy")))</f>
        <v/>
      </c>
      <c r="E26" s="22">
        <f>IF(INDEX(Positions!$B$6:$B$35,INT((ROW()-5)/2)+1)="","",IF(MOD(ROW()-5,2)=0,"in","out"))</f>
        <v/>
      </c>
      <c r="F26" s="23">
        <f>IF(INDEX(Positions!$B$6:$B$35,INT((ROW()-5)/2)+1)="","",INDEX(Positions!$E$6:$E$35,INT((ROW()-5)/2)+1))</f>
        <v/>
      </c>
      <c r="G26" s="23">
        <f>IF(INDEX(Positions!$B$6:$B$35,INT((ROW()-5)/2)+1)="","",IF(MOD(ROW()-5,2)=0,INDEX(Positions!$F$6:$F$35,INT((ROW()-5)/2)+1),INDEX(Positions!$J$6:$J$35,INT((ROW()-5)/2)+1)))</f>
        <v/>
      </c>
      <c r="H26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6" s="22">
        <f>0</f>
        <v/>
      </c>
      <c r="J26" s="23">
        <f>IF(INDEX(Positions!$B$6:$B$35,INT((ROW()-5)/2)+1)="","",IF(MOD(ROW()-5,2)=0,0,INDEX(Positions!$K$6:$K$35,INT((ROW()-5)/2)+1)))</f>
        <v/>
      </c>
      <c r="K26" s="23">
        <f>IF(INDEX(Positions!$B$6:$B$35,INT((ROW()-5)/2)+1)="","",IF(MOD(ROW()-5,2)=0,0,INDEX(Positions!$X$6:$X$35,INT((ROW()-5)/2)+1)))</f>
        <v/>
      </c>
      <c r="L26" s="23">
        <f>IF(INDEX(Positions!$B$6:$B$35,INT((ROW()-5)/2)+1)="","",IF(MOD(ROW()-5,2)=0,0,INDEX(Positions!$L$6:$L$35,INT((ROW()-5)/2)+1)))</f>
        <v/>
      </c>
      <c r="M26" s="23">
        <f>IF(INDEX(Positions!$B$6:$B$35,INT((ROW()-5)/2)+1)="","",IF(MOD(ROW()-5,2)=0,0,INDEX(Positions!$M$6:$M$35,INT((ROW()-5)/2)+1)))</f>
        <v/>
      </c>
      <c r="N26" s="23">
        <f>IF(INDEX(Positions!$B$6:$B$35,INT((ROW()-5)/2)+1)="","",IF(MOD(ROW()-5,2)=0,INDEX(Positions!$Z$6:$Z$35,INT((ROW()-5)/2)+1),INDEX(Positions!$AA$6:$AA$35,INT((ROW()-5)/2)+1)))</f>
        <v/>
      </c>
      <c r="O26" s="22">
        <f>IF(INDEX(Positions!$B$6:$B$35,INT((ROW()-5)/2)+1)="","",IF(MOD(ROW()-5,2)=0,INDEX(Positions!$V$6:$V$35,INT((ROW()-5)/2)+1),INDEX(Positions!$W$6:$W$35,INT((ROW()-5)/2)+1)))</f>
        <v/>
      </c>
    </row>
    <row r="27">
      <c r="A27" s="21">
        <f>IF(INDEX(Positions!$B$6:$B$35,INT((ROW()-5)/2)+1)="","",IF(MOD(ROW()-5,2)=0,INDEX(Positions!$A$6:$A$35,INT((ROW()-5)/2)+1),INDEX(Positions!$I$6:$I$35,INT((ROW()-5)/2)+1)))</f>
        <v/>
      </c>
      <c r="B27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7" s="22">
        <f>IF(INDEX(Positions!$B$6:$B$35,INT((ROW()-5)/2)+1)="","",INDEX(Positions!$C$6:$C$35,INT((ROW()-5)/2)+1))</f>
        <v/>
      </c>
      <c r="D27" s="22">
        <f>IF(INDEX(Positions!$B$6:$B$35,INT((ROW()-5)/2)+1)="","",IF(MOD(ROW()-5,2)=0,INDEX(Positions!$D$6:$D$35,INT((ROW()-5)/2)+1),IF(INDEX(Positions!$D$6:$D$35,INT((ROW()-5)/2)+1)="buy","sell","buy")))</f>
        <v/>
      </c>
      <c r="E27" s="22">
        <f>IF(INDEX(Positions!$B$6:$B$35,INT((ROW()-5)/2)+1)="","",IF(MOD(ROW()-5,2)=0,"in","out"))</f>
        <v/>
      </c>
      <c r="F27" s="23">
        <f>IF(INDEX(Positions!$B$6:$B$35,INT((ROW()-5)/2)+1)="","",INDEX(Positions!$E$6:$E$35,INT((ROW()-5)/2)+1))</f>
        <v/>
      </c>
      <c r="G27" s="23">
        <f>IF(INDEX(Positions!$B$6:$B$35,INT((ROW()-5)/2)+1)="","",IF(MOD(ROW()-5,2)=0,INDEX(Positions!$F$6:$F$35,INT((ROW()-5)/2)+1),INDEX(Positions!$J$6:$J$35,INT((ROW()-5)/2)+1)))</f>
        <v/>
      </c>
      <c r="H27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7" s="22">
        <f>0</f>
        <v/>
      </c>
      <c r="J27" s="23">
        <f>IF(INDEX(Positions!$B$6:$B$35,INT((ROW()-5)/2)+1)="","",IF(MOD(ROW()-5,2)=0,0,INDEX(Positions!$K$6:$K$35,INT((ROW()-5)/2)+1)))</f>
        <v/>
      </c>
      <c r="K27" s="23">
        <f>IF(INDEX(Positions!$B$6:$B$35,INT((ROW()-5)/2)+1)="","",IF(MOD(ROW()-5,2)=0,0,INDEX(Positions!$X$6:$X$35,INT((ROW()-5)/2)+1)))</f>
        <v/>
      </c>
      <c r="L27" s="23">
        <f>IF(INDEX(Positions!$B$6:$B$35,INT((ROW()-5)/2)+1)="","",IF(MOD(ROW()-5,2)=0,0,INDEX(Positions!$L$6:$L$35,INT((ROW()-5)/2)+1)))</f>
        <v/>
      </c>
      <c r="M27" s="23">
        <f>IF(INDEX(Positions!$B$6:$B$35,INT((ROW()-5)/2)+1)="","",IF(MOD(ROW()-5,2)=0,0,INDEX(Positions!$M$6:$M$35,INT((ROW()-5)/2)+1)))</f>
        <v/>
      </c>
      <c r="N27" s="23">
        <f>IF(INDEX(Positions!$B$6:$B$35,INT((ROW()-5)/2)+1)="","",IF(MOD(ROW()-5,2)=0,INDEX(Positions!$Z$6:$Z$35,INT((ROW()-5)/2)+1),INDEX(Positions!$AA$6:$AA$35,INT((ROW()-5)/2)+1)))</f>
        <v/>
      </c>
      <c r="O27" s="22">
        <f>IF(INDEX(Positions!$B$6:$B$35,INT((ROW()-5)/2)+1)="","",IF(MOD(ROW()-5,2)=0,INDEX(Positions!$V$6:$V$35,INT((ROW()-5)/2)+1),INDEX(Positions!$W$6:$W$35,INT((ROW()-5)/2)+1)))</f>
        <v/>
      </c>
    </row>
    <row r="28">
      <c r="A28" s="21">
        <f>IF(INDEX(Positions!$B$6:$B$35,INT((ROW()-5)/2)+1)="","",IF(MOD(ROW()-5,2)=0,INDEX(Positions!$A$6:$A$35,INT((ROW()-5)/2)+1),INDEX(Positions!$I$6:$I$35,INT((ROW()-5)/2)+1)))</f>
        <v/>
      </c>
      <c r="B28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8" s="22">
        <f>IF(INDEX(Positions!$B$6:$B$35,INT((ROW()-5)/2)+1)="","",INDEX(Positions!$C$6:$C$35,INT((ROW()-5)/2)+1))</f>
        <v/>
      </c>
      <c r="D28" s="22">
        <f>IF(INDEX(Positions!$B$6:$B$35,INT((ROW()-5)/2)+1)="","",IF(MOD(ROW()-5,2)=0,INDEX(Positions!$D$6:$D$35,INT((ROW()-5)/2)+1),IF(INDEX(Positions!$D$6:$D$35,INT((ROW()-5)/2)+1)="buy","sell","buy")))</f>
        <v/>
      </c>
      <c r="E28" s="22">
        <f>IF(INDEX(Positions!$B$6:$B$35,INT((ROW()-5)/2)+1)="","",IF(MOD(ROW()-5,2)=0,"in","out"))</f>
        <v/>
      </c>
      <c r="F28" s="23">
        <f>IF(INDEX(Positions!$B$6:$B$35,INT((ROW()-5)/2)+1)="","",INDEX(Positions!$E$6:$E$35,INT((ROW()-5)/2)+1))</f>
        <v/>
      </c>
      <c r="G28" s="23">
        <f>IF(INDEX(Positions!$B$6:$B$35,INT((ROW()-5)/2)+1)="","",IF(MOD(ROW()-5,2)=0,INDEX(Positions!$F$6:$F$35,INT((ROW()-5)/2)+1),INDEX(Positions!$J$6:$J$35,INT((ROW()-5)/2)+1)))</f>
        <v/>
      </c>
      <c r="H28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8" s="22">
        <f>0</f>
        <v/>
      </c>
      <c r="J28" s="23">
        <f>IF(INDEX(Positions!$B$6:$B$35,INT((ROW()-5)/2)+1)="","",IF(MOD(ROW()-5,2)=0,0,INDEX(Positions!$K$6:$K$35,INT((ROW()-5)/2)+1)))</f>
        <v/>
      </c>
      <c r="K28" s="23">
        <f>IF(INDEX(Positions!$B$6:$B$35,INT((ROW()-5)/2)+1)="","",IF(MOD(ROW()-5,2)=0,0,INDEX(Positions!$X$6:$X$35,INT((ROW()-5)/2)+1)))</f>
        <v/>
      </c>
      <c r="L28" s="23">
        <f>IF(INDEX(Positions!$B$6:$B$35,INT((ROW()-5)/2)+1)="","",IF(MOD(ROW()-5,2)=0,0,INDEX(Positions!$L$6:$L$35,INT((ROW()-5)/2)+1)))</f>
        <v/>
      </c>
      <c r="M28" s="23">
        <f>IF(INDEX(Positions!$B$6:$B$35,INT((ROW()-5)/2)+1)="","",IF(MOD(ROW()-5,2)=0,0,INDEX(Positions!$M$6:$M$35,INT((ROW()-5)/2)+1)))</f>
        <v/>
      </c>
      <c r="N28" s="23">
        <f>IF(INDEX(Positions!$B$6:$B$35,INT((ROW()-5)/2)+1)="","",IF(MOD(ROW()-5,2)=0,INDEX(Positions!$Z$6:$Z$35,INT((ROW()-5)/2)+1),INDEX(Positions!$AA$6:$AA$35,INT((ROW()-5)/2)+1)))</f>
        <v/>
      </c>
      <c r="O28" s="22">
        <f>IF(INDEX(Positions!$B$6:$B$35,INT((ROW()-5)/2)+1)="","",IF(MOD(ROW()-5,2)=0,INDEX(Positions!$V$6:$V$35,INT((ROW()-5)/2)+1),INDEX(Positions!$W$6:$W$35,INT((ROW()-5)/2)+1)))</f>
        <v/>
      </c>
    </row>
    <row r="29">
      <c r="A29" s="21">
        <f>IF(INDEX(Positions!$B$6:$B$35,INT((ROW()-5)/2)+1)="","",IF(MOD(ROW()-5,2)=0,INDEX(Positions!$A$6:$A$35,INT((ROW()-5)/2)+1),INDEX(Positions!$I$6:$I$35,INT((ROW()-5)/2)+1)))</f>
        <v/>
      </c>
      <c r="B29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29" s="22">
        <f>IF(INDEX(Positions!$B$6:$B$35,INT((ROW()-5)/2)+1)="","",INDEX(Positions!$C$6:$C$35,INT((ROW()-5)/2)+1))</f>
        <v/>
      </c>
      <c r="D29" s="22">
        <f>IF(INDEX(Positions!$B$6:$B$35,INT((ROW()-5)/2)+1)="","",IF(MOD(ROW()-5,2)=0,INDEX(Positions!$D$6:$D$35,INT((ROW()-5)/2)+1),IF(INDEX(Positions!$D$6:$D$35,INT((ROW()-5)/2)+1)="buy","sell","buy")))</f>
        <v/>
      </c>
      <c r="E29" s="22">
        <f>IF(INDEX(Positions!$B$6:$B$35,INT((ROW()-5)/2)+1)="","",IF(MOD(ROW()-5,2)=0,"in","out"))</f>
        <v/>
      </c>
      <c r="F29" s="23">
        <f>IF(INDEX(Positions!$B$6:$B$35,INT((ROW()-5)/2)+1)="","",INDEX(Positions!$E$6:$E$35,INT((ROW()-5)/2)+1))</f>
        <v/>
      </c>
      <c r="G29" s="23">
        <f>IF(INDEX(Positions!$B$6:$B$35,INT((ROW()-5)/2)+1)="","",IF(MOD(ROW()-5,2)=0,INDEX(Positions!$F$6:$F$35,INT((ROW()-5)/2)+1),INDEX(Positions!$J$6:$J$35,INT((ROW()-5)/2)+1)))</f>
        <v/>
      </c>
      <c r="H29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29" s="22">
        <f>0</f>
        <v/>
      </c>
      <c r="J29" s="23">
        <f>IF(INDEX(Positions!$B$6:$B$35,INT((ROW()-5)/2)+1)="","",IF(MOD(ROW()-5,2)=0,0,INDEX(Positions!$K$6:$K$35,INT((ROW()-5)/2)+1)))</f>
        <v/>
      </c>
      <c r="K29" s="23">
        <f>IF(INDEX(Positions!$B$6:$B$35,INT((ROW()-5)/2)+1)="","",IF(MOD(ROW()-5,2)=0,0,INDEX(Positions!$X$6:$X$35,INT((ROW()-5)/2)+1)))</f>
        <v/>
      </c>
      <c r="L29" s="23">
        <f>IF(INDEX(Positions!$B$6:$B$35,INT((ROW()-5)/2)+1)="","",IF(MOD(ROW()-5,2)=0,0,INDEX(Positions!$L$6:$L$35,INT((ROW()-5)/2)+1)))</f>
        <v/>
      </c>
      <c r="M29" s="23">
        <f>IF(INDEX(Positions!$B$6:$B$35,INT((ROW()-5)/2)+1)="","",IF(MOD(ROW()-5,2)=0,0,INDEX(Positions!$M$6:$M$35,INT((ROW()-5)/2)+1)))</f>
        <v/>
      </c>
      <c r="N29" s="23">
        <f>IF(INDEX(Positions!$B$6:$B$35,INT((ROW()-5)/2)+1)="","",IF(MOD(ROW()-5,2)=0,INDEX(Positions!$Z$6:$Z$35,INT((ROW()-5)/2)+1),INDEX(Positions!$AA$6:$AA$35,INT((ROW()-5)/2)+1)))</f>
        <v/>
      </c>
      <c r="O29" s="22">
        <f>IF(INDEX(Positions!$B$6:$B$35,INT((ROW()-5)/2)+1)="","",IF(MOD(ROW()-5,2)=0,INDEX(Positions!$V$6:$V$35,INT((ROW()-5)/2)+1),INDEX(Positions!$W$6:$W$35,INT((ROW()-5)/2)+1)))</f>
        <v/>
      </c>
    </row>
    <row r="30">
      <c r="A30" s="21">
        <f>IF(INDEX(Positions!$B$6:$B$35,INT((ROW()-5)/2)+1)="","",IF(MOD(ROW()-5,2)=0,INDEX(Positions!$A$6:$A$35,INT((ROW()-5)/2)+1),INDEX(Positions!$I$6:$I$35,INT((ROW()-5)/2)+1)))</f>
        <v/>
      </c>
      <c r="B30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0" s="22">
        <f>IF(INDEX(Positions!$B$6:$B$35,INT((ROW()-5)/2)+1)="","",INDEX(Positions!$C$6:$C$35,INT((ROW()-5)/2)+1))</f>
        <v/>
      </c>
      <c r="D30" s="22">
        <f>IF(INDEX(Positions!$B$6:$B$35,INT((ROW()-5)/2)+1)="","",IF(MOD(ROW()-5,2)=0,INDEX(Positions!$D$6:$D$35,INT((ROW()-5)/2)+1),IF(INDEX(Positions!$D$6:$D$35,INT((ROW()-5)/2)+1)="buy","sell","buy")))</f>
        <v/>
      </c>
      <c r="E30" s="22">
        <f>IF(INDEX(Positions!$B$6:$B$35,INT((ROW()-5)/2)+1)="","",IF(MOD(ROW()-5,2)=0,"in","out"))</f>
        <v/>
      </c>
      <c r="F30" s="23">
        <f>IF(INDEX(Positions!$B$6:$B$35,INT((ROW()-5)/2)+1)="","",INDEX(Positions!$E$6:$E$35,INT((ROW()-5)/2)+1))</f>
        <v/>
      </c>
      <c r="G30" s="23">
        <f>IF(INDEX(Positions!$B$6:$B$35,INT((ROW()-5)/2)+1)="","",IF(MOD(ROW()-5,2)=0,INDEX(Positions!$F$6:$F$35,INT((ROW()-5)/2)+1),INDEX(Positions!$J$6:$J$35,INT((ROW()-5)/2)+1)))</f>
        <v/>
      </c>
      <c r="H30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0" s="22">
        <f>0</f>
        <v/>
      </c>
      <c r="J30" s="23">
        <f>IF(INDEX(Positions!$B$6:$B$35,INT((ROW()-5)/2)+1)="","",IF(MOD(ROW()-5,2)=0,0,INDEX(Positions!$K$6:$K$35,INT((ROW()-5)/2)+1)))</f>
        <v/>
      </c>
      <c r="K30" s="23">
        <f>IF(INDEX(Positions!$B$6:$B$35,INT((ROW()-5)/2)+1)="","",IF(MOD(ROW()-5,2)=0,0,INDEX(Positions!$X$6:$X$35,INT((ROW()-5)/2)+1)))</f>
        <v/>
      </c>
      <c r="L30" s="23">
        <f>IF(INDEX(Positions!$B$6:$B$35,INT((ROW()-5)/2)+1)="","",IF(MOD(ROW()-5,2)=0,0,INDEX(Positions!$L$6:$L$35,INT((ROW()-5)/2)+1)))</f>
        <v/>
      </c>
      <c r="M30" s="23">
        <f>IF(INDEX(Positions!$B$6:$B$35,INT((ROW()-5)/2)+1)="","",IF(MOD(ROW()-5,2)=0,0,INDEX(Positions!$M$6:$M$35,INT((ROW()-5)/2)+1)))</f>
        <v/>
      </c>
      <c r="N30" s="23">
        <f>IF(INDEX(Positions!$B$6:$B$35,INT((ROW()-5)/2)+1)="","",IF(MOD(ROW()-5,2)=0,INDEX(Positions!$Z$6:$Z$35,INT((ROW()-5)/2)+1),INDEX(Positions!$AA$6:$AA$35,INT((ROW()-5)/2)+1)))</f>
        <v/>
      </c>
      <c r="O30" s="22">
        <f>IF(INDEX(Positions!$B$6:$B$35,INT((ROW()-5)/2)+1)="","",IF(MOD(ROW()-5,2)=0,INDEX(Positions!$V$6:$V$35,INT((ROW()-5)/2)+1),INDEX(Positions!$W$6:$W$35,INT((ROW()-5)/2)+1)))</f>
        <v/>
      </c>
    </row>
    <row r="31">
      <c r="A31" s="21">
        <f>IF(INDEX(Positions!$B$6:$B$35,INT((ROW()-5)/2)+1)="","",IF(MOD(ROW()-5,2)=0,INDEX(Positions!$A$6:$A$35,INT((ROW()-5)/2)+1),INDEX(Positions!$I$6:$I$35,INT((ROW()-5)/2)+1)))</f>
        <v/>
      </c>
      <c r="B31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1" s="22">
        <f>IF(INDEX(Positions!$B$6:$B$35,INT((ROW()-5)/2)+1)="","",INDEX(Positions!$C$6:$C$35,INT((ROW()-5)/2)+1))</f>
        <v/>
      </c>
      <c r="D31" s="22">
        <f>IF(INDEX(Positions!$B$6:$B$35,INT((ROW()-5)/2)+1)="","",IF(MOD(ROW()-5,2)=0,INDEX(Positions!$D$6:$D$35,INT((ROW()-5)/2)+1),IF(INDEX(Positions!$D$6:$D$35,INT((ROW()-5)/2)+1)="buy","sell","buy")))</f>
        <v/>
      </c>
      <c r="E31" s="22">
        <f>IF(INDEX(Positions!$B$6:$B$35,INT((ROW()-5)/2)+1)="","",IF(MOD(ROW()-5,2)=0,"in","out"))</f>
        <v/>
      </c>
      <c r="F31" s="23">
        <f>IF(INDEX(Positions!$B$6:$B$35,INT((ROW()-5)/2)+1)="","",INDEX(Positions!$E$6:$E$35,INT((ROW()-5)/2)+1))</f>
        <v/>
      </c>
      <c r="G31" s="23">
        <f>IF(INDEX(Positions!$B$6:$B$35,INT((ROW()-5)/2)+1)="","",IF(MOD(ROW()-5,2)=0,INDEX(Positions!$F$6:$F$35,INT((ROW()-5)/2)+1),INDEX(Positions!$J$6:$J$35,INT((ROW()-5)/2)+1)))</f>
        <v/>
      </c>
      <c r="H31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1" s="22">
        <f>0</f>
        <v/>
      </c>
      <c r="J31" s="23">
        <f>IF(INDEX(Positions!$B$6:$B$35,INT((ROW()-5)/2)+1)="","",IF(MOD(ROW()-5,2)=0,0,INDEX(Positions!$K$6:$K$35,INT((ROW()-5)/2)+1)))</f>
        <v/>
      </c>
      <c r="K31" s="23">
        <f>IF(INDEX(Positions!$B$6:$B$35,INT((ROW()-5)/2)+1)="","",IF(MOD(ROW()-5,2)=0,0,INDEX(Positions!$X$6:$X$35,INT((ROW()-5)/2)+1)))</f>
        <v/>
      </c>
      <c r="L31" s="23">
        <f>IF(INDEX(Positions!$B$6:$B$35,INT((ROW()-5)/2)+1)="","",IF(MOD(ROW()-5,2)=0,0,INDEX(Positions!$L$6:$L$35,INT((ROW()-5)/2)+1)))</f>
        <v/>
      </c>
      <c r="M31" s="23">
        <f>IF(INDEX(Positions!$B$6:$B$35,INT((ROW()-5)/2)+1)="","",IF(MOD(ROW()-5,2)=0,0,INDEX(Positions!$M$6:$M$35,INT((ROW()-5)/2)+1)))</f>
        <v/>
      </c>
      <c r="N31" s="23">
        <f>IF(INDEX(Positions!$B$6:$B$35,INT((ROW()-5)/2)+1)="","",IF(MOD(ROW()-5,2)=0,INDEX(Positions!$Z$6:$Z$35,INT((ROW()-5)/2)+1),INDEX(Positions!$AA$6:$AA$35,INT((ROW()-5)/2)+1)))</f>
        <v/>
      </c>
      <c r="O31" s="22">
        <f>IF(INDEX(Positions!$B$6:$B$35,INT((ROW()-5)/2)+1)="","",IF(MOD(ROW()-5,2)=0,INDEX(Positions!$V$6:$V$35,INT((ROW()-5)/2)+1),INDEX(Positions!$W$6:$W$35,INT((ROW()-5)/2)+1)))</f>
        <v/>
      </c>
    </row>
    <row r="32">
      <c r="A32" s="21">
        <f>IF(INDEX(Positions!$B$6:$B$35,INT((ROW()-5)/2)+1)="","",IF(MOD(ROW()-5,2)=0,INDEX(Positions!$A$6:$A$35,INT((ROW()-5)/2)+1),INDEX(Positions!$I$6:$I$35,INT((ROW()-5)/2)+1)))</f>
        <v/>
      </c>
      <c r="B32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2" s="22">
        <f>IF(INDEX(Positions!$B$6:$B$35,INT((ROW()-5)/2)+1)="","",INDEX(Positions!$C$6:$C$35,INT((ROW()-5)/2)+1))</f>
        <v/>
      </c>
      <c r="D32" s="22">
        <f>IF(INDEX(Positions!$B$6:$B$35,INT((ROW()-5)/2)+1)="","",IF(MOD(ROW()-5,2)=0,INDEX(Positions!$D$6:$D$35,INT((ROW()-5)/2)+1),IF(INDEX(Positions!$D$6:$D$35,INT((ROW()-5)/2)+1)="buy","sell","buy")))</f>
        <v/>
      </c>
      <c r="E32" s="22">
        <f>IF(INDEX(Positions!$B$6:$B$35,INT((ROW()-5)/2)+1)="","",IF(MOD(ROW()-5,2)=0,"in","out"))</f>
        <v/>
      </c>
      <c r="F32" s="23">
        <f>IF(INDEX(Positions!$B$6:$B$35,INT((ROW()-5)/2)+1)="","",INDEX(Positions!$E$6:$E$35,INT((ROW()-5)/2)+1))</f>
        <v/>
      </c>
      <c r="G32" s="23">
        <f>IF(INDEX(Positions!$B$6:$B$35,INT((ROW()-5)/2)+1)="","",IF(MOD(ROW()-5,2)=0,INDEX(Positions!$F$6:$F$35,INT((ROW()-5)/2)+1),INDEX(Positions!$J$6:$J$35,INT((ROW()-5)/2)+1)))</f>
        <v/>
      </c>
      <c r="H32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2" s="22">
        <f>0</f>
        <v/>
      </c>
      <c r="J32" s="23">
        <f>IF(INDEX(Positions!$B$6:$B$35,INT((ROW()-5)/2)+1)="","",IF(MOD(ROW()-5,2)=0,0,INDEX(Positions!$K$6:$K$35,INT((ROW()-5)/2)+1)))</f>
        <v/>
      </c>
      <c r="K32" s="23">
        <f>IF(INDEX(Positions!$B$6:$B$35,INT((ROW()-5)/2)+1)="","",IF(MOD(ROW()-5,2)=0,0,INDEX(Positions!$X$6:$X$35,INT((ROW()-5)/2)+1)))</f>
        <v/>
      </c>
      <c r="L32" s="23">
        <f>IF(INDEX(Positions!$B$6:$B$35,INT((ROW()-5)/2)+1)="","",IF(MOD(ROW()-5,2)=0,0,INDEX(Positions!$L$6:$L$35,INT((ROW()-5)/2)+1)))</f>
        <v/>
      </c>
      <c r="M32" s="23">
        <f>IF(INDEX(Positions!$B$6:$B$35,INT((ROW()-5)/2)+1)="","",IF(MOD(ROW()-5,2)=0,0,INDEX(Positions!$M$6:$M$35,INT((ROW()-5)/2)+1)))</f>
        <v/>
      </c>
      <c r="N32" s="23">
        <f>IF(INDEX(Positions!$B$6:$B$35,INT((ROW()-5)/2)+1)="","",IF(MOD(ROW()-5,2)=0,INDEX(Positions!$Z$6:$Z$35,INT((ROW()-5)/2)+1),INDEX(Positions!$AA$6:$AA$35,INT((ROW()-5)/2)+1)))</f>
        <v/>
      </c>
      <c r="O32" s="22">
        <f>IF(INDEX(Positions!$B$6:$B$35,INT((ROW()-5)/2)+1)="","",IF(MOD(ROW()-5,2)=0,INDEX(Positions!$V$6:$V$35,INT((ROW()-5)/2)+1),INDEX(Positions!$W$6:$W$35,INT((ROW()-5)/2)+1)))</f>
        <v/>
      </c>
    </row>
    <row r="33">
      <c r="A33" s="21">
        <f>IF(INDEX(Positions!$B$6:$B$35,INT((ROW()-5)/2)+1)="","",IF(MOD(ROW()-5,2)=0,INDEX(Positions!$A$6:$A$35,INT((ROW()-5)/2)+1),INDEX(Positions!$I$6:$I$35,INT((ROW()-5)/2)+1)))</f>
        <v/>
      </c>
      <c r="B33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3" s="22">
        <f>IF(INDEX(Positions!$B$6:$B$35,INT((ROW()-5)/2)+1)="","",INDEX(Positions!$C$6:$C$35,INT((ROW()-5)/2)+1))</f>
        <v/>
      </c>
      <c r="D33" s="22">
        <f>IF(INDEX(Positions!$B$6:$B$35,INT((ROW()-5)/2)+1)="","",IF(MOD(ROW()-5,2)=0,INDEX(Positions!$D$6:$D$35,INT((ROW()-5)/2)+1),IF(INDEX(Positions!$D$6:$D$35,INT((ROW()-5)/2)+1)="buy","sell","buy")))</f>
        <v/>
      </c>
      <c r="E33" s="22">
        <f>IF(INDEX(Positions!$B$6:$B$35,INT((ROW()-5)/2)+1)="","",IF(MOD(ROW()-5,2)=0,"in","out"))</f>
        <v/>
      </c>
      <c r="F33" s="23">
        <f>IF(INDEX(Positions!$B$6:$B$35,INT((ROW()-5)/2)+1)="","",INDEX(Positions!$E$6:$E$35,INT((ROW()-5)/2)+1))</f>
        <v/>
      </c>
      <c r="G33" s="23">
        <f>IF(INDEX(Positions!$B$6:$B$35,INT((ROW()-5)/2)+1)="","",IF(MOD(ROW()-5,2)=0,INDEX(Positions!$F$6:$F$35,INT((ROW()-5)/2)+1),INDEX(Positions!$J$6:$J$35,INT((ROW()-5)/2)+1)))</f>
        <v/>
      </c>
      <c r="H33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3" s="22">
        <f>0</f>
        <v/>
      </c>
      <c r="J33" s="23">
        <f>IF(INDEX(Positions!$B$6:$B$35,INT((ROW()-5)/2)+1)="","",IF(MOD(ROW()-5,2)=0,0,INDEX(Positions!$K$6:$K$35,INT((ROW()-5)/2)+1)))</f>
        <v/>
      </c>
      <c r="K33" s="23">
        <f>IF(INDEX(Positions!$B$6:$B$35,INT((ROW()-5)/2)+1)="","",IF(MOD(ROW()-5,2)=0,0,INDEX(Positions!$X$6:$X$35,INT((ROW()-5)/2)+1)))</f>
        <v/>
      </c>
      <c r="L33" s="23">
        <f>IF(INDEX(Positions!$B$6:$B$35,INT((ROW()-5)/2)+1)="","",IF(MOD(ROW()-5,2)=0,0,INDEX(Positions!$L$6:$L$35,INT((ROW()-5)/2)+1)))</f>
        <v/>
      </c>
      <c r="M33" s="23">
        <f>IF(INDEX(Positions!$B$6:$B$35,INT((ROW()-5)/2)+1)="","",IF(MOD(ROW()-5,2)=0,0,INDEX(Positions!$M$6:$M$35,INT((ROW()-5)/2)+1)))</f>
        <v/>
      </c>
      <c r="N33" s="23">
        <f>IF(INDEX(Positions!$B$6:$B$35,INT((ROW()-5)/2)+1)="","",IF(MOD(ROW()-5,2)=0,INDEX(Positions!$Z$6:$Z$35,INT((ROW()-5)/2)+1),INDEX(Positions!$AA$6:$AA$35,INT((ROW()-5)/2)+1)))</f>
        <v/>
      </c>
      <c r="O33" s="22">
        <f>IF(INDEX(Positions!$B$6:$B$35,INT((ROW()-5)/2)+1)="","",IF(MOD(ROW()-5,2)=0,INDEX(Positions!$V$6:$V$35,INT((ROW()-5)/2)+1),INDEX(Positions!$W$6:$W$35,INT((ROW()-5)/2)+1)))</f>
        <v/>
      </c>
    </row>
    <row r="34">
      <c r="A34" s="21">
        <f>IF(INDEX(Positions!$B$6:$B$35,INT((ROW()-5)/2)+1)="","",IF(MOD(ROW()-5,2)=0,INDEX(Positions!$A$6:$A$35,INT((ROW()-5)/2)+1),INDEX(Positions!$I$6:$I$35,INT((ROW()-5)/2)+1)))</f>
        <v/>
      </c>
      <c r="B34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4" s="22">
        <f>IF(INDEX(Positions!$B$6:$B$35,INT((ROW()-5)/2)+1)="","",INDEX(Positions!$C$6:$C$35,INT((ROW()-5)/2)+1))</f>
        <v/>
      </c>
      <c r="D34" s="22">
        <f>IF(INDEX(Positions!$B$6:$B$35,INT((ROW()-5)/2)+1)="","",IF(MOD(ROW()-5,2)=0,INDEX(Positions!$D$6:$D$35,INT((ROW()-5)/2)+1),IF(INDEX(Positions!$D$6:$D$35,INT((ROW()-5)/2)+1)="buy","sell","buy")))</f>
        <v/>
      </c>
      <c r="E34" s="22">
        <f>IF(INDEX(Positions!$B$6:$B$35,INT((ROW()-5)/2)+1)="","",IF(MOD(ROW()-5,2)=0,"in","out"))</f>
        <v/>
      </c>
      <c r="F34" s="23">
        <f>IF(INDEX(Positions!$B$6:$B$35,INT((ROW()-5)/2)+1)="","",INDEX(Positions!$E$6:$E$35,INT((ROW()-5)/2)+1))</f>
        <v/>
      </c>
      <c r="G34" s="23">
        <f>IF(INDEX(Positions!$B$6:$B$35,INT((ROW()-5)/2)+1)="","",IF(MOD(ROW()-5,2)=0,INDEX(Positions!$F$6:$F$35,INT((ROW()-5)/2)+1),INDEX(Positions!$J$6:$J$35,INT((ROW()-5)/2)+1)))</f>
        <v/>
      </c>
      <c r="H34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4" s="22">
        <f>0</f>
        <v/>
      </c>
      <c r="J34" s="23">
        <f>IF(INDEX(Positions!$B$6:$B$35,INT((ROW()-5)/2)+1)="","",IF(MOD(ROW()-5,2)=0,0,INDEX(Positions!$K$6:$K$35,INT((ROW()-5)/2)+1)))</f>
        <v/>
      </c>
      <c r="K34" s="23">
        <f>IF(INDEX(Positions!$B$6:$B$35,INT((ROW()-5)/2)+1)="","",IF(MOD(ROW()-5,2)=0,0,INDEX(Positions!$X$6:$X$35,INT((ROW()-5)/2)+1)))</f>
        <v/>
      </c>
      <c r="L34" s="23">
        <f>IF(INDEX(Positions!$B$6:$B$35,INT((ROW()-5)/2)+1)="","",IF(MOD(ROW()-5,2)=0,0,INDEX(Positions!$L$6:$L$35,INT((ROW()-5)/2)+1)))</f>
        <v/>
      </c>
      <c r="M34" s="23">
        <f>IF(INDEX(Positions!$B$6:$B$35,INT((ROW()-5)/2)+1)="","",IF(MOD(ROW()-5,2)=0,0,INDEX(Positions!$M$6:$M$35,INT((ROW()-5)/2)+1)))</f>
        <v/>
      </c>
      <c r="N34" s="23">
        <f>IF(INDEX(Positions!$B$6:$B$35,INT((ROW()-5)/2)+1)="","",IF(MOD(ROW()-5,2)=0,INDEX(Positions!$Z$6:$Z$35,INT((ROW()-5)/2)+1),INDEX(Positions!$AA$6:$AA$35,INT((ROW()-5)/2)+1)))</f>
        <v/>
      </c>
      <c r="O34" s="22">
        <f>IF(INDEX(Positions!$B$6:$B$35,INT((ROW()-5)/2)+1)="","",IF(MOD(ROW()-5,2)=0,INDEX(Positions!$V$6:$V$35,INT((ROW()-5)/2)+1),INDEX(Positions!$W$6:$W$35,INT((ROW()-5)/2)+1)))</f>
        <v/>
      </c>
    </row>
    <row r="35">
      <c r="A35" s="21">
        <f>IF(INDEX(Positions!$B$6:$B$35,INT((ROW()-5)/2)+1)="","",IF(MOD(ROW()-5,2)=0,INDEX(Positions!$A$6:$A$35,INT((ROW()-5)/2)+1),INDEX(Positions!$I$6:$I$35,INT((ROW()-5)/2)+1)))</f>
        <v/>
      </c>
      <c r="B35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5" s="22">
        <f>IF(INDEX(Positions!$B$6:$B$35,INT((ROW()-5)/2)+1)="","",INDEX(Positions!$C$6:$C$35,INT((ROW()-5)/2)+1))</f>
        <v/>
      </c>
      <c r="D35" s="22">
        <f>IF(INDEX(Positions!$B$6:$B$35,INT((ROW()-5)/2)+1)="","",IF(MOD(ROW()-5,2)=0,INDEX(Positions!$D$6:$D$35,INT((ROW()-5)/2)+1),IF(INDEX(Positions!$D$6:$D$35,INT((ROW()-5)/2)+1)="buy","sell","buy")))</f>
        <v/>
      </c>
      <c r="E35" s="22">
        <f>IF(INDEX(Positions!$B$6:$B$35,INT((ROW()-5)/2)+1)="","",IF(MOD(ROW()-5,2)=0,"in","out"))</f>
        <v/>
      </c>
      <c r="F35" s="23">
        <f>IF(INDEX(Positions!$B$6:$B$35,INT((ROW()-5)/2)+1)="","",INDEX(Positions!$E$6:$E$35,INT((ROW()-5)/2)+1))</f>
        <v/>
      </c>
      <c r="G35" s="23">
        <f>IF(INDEX(Positions!$B$6:$B$35,INT((ROW()-5)/2)+1)="","",IF(MOD(ROW()-5,2)=0,INDEX(Positions!$F$6:$F$35,INT((ROW()-5)/2)+1),INDEX(Positions!$J$6:$J$35,INT((ROW()-5)/2)+1)))</f>
        <v/>
      </c>
      <c r="H35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5" s="22">
        <f>0</f>
        <v/>
      </c>
      <c r="J35" s="23">
        <f>IF(INDEX(Positions!$B$6:$B$35,INT((ROW()-5)/2)+1)="","",IF(MOD(ROW()-5,2)=0,0,INDEX(Positions!$K$6:$K$35,INT((ROW()-5)/2)+1)))</f>
        <v/>
      </c>
      <c r="K35" s="23">
        <f>IF(INDEX(Positions!$B$6:$B$35,INT((ROW()-5)/2)+1)="","",IF(MOD(ROW()-5,2)=0,0,INDEX(Positions!$X$6:$X$35,INT((ROW()-5)/2)+1)))</f>
        <v/>
      </c>
      <c r="L35" s="23">
        <f>IF(INDEX(Positions!$B$6:$B$35,INT((ROW()-5)/2)+1)="","",IF(MOD(ROW()-5,2)=0,0,INDEX(Positions!$L$6:$L$35,INT((ROW()-5)/2)+1)))</f>
        <v/>
      </c>
      <c r="M35" s="23">
        <f>IF(INDEX(Positions!$B$6:$B$35,INT((ROW()-5)/2)+1)="","",IF(MOD(ROW()-5,2)=0,0,INDEX(Positions!$M$6:$M$35,INT((ROW()-5)/2)+1)))</f>
        <v/>
      </c>
      <c r="N35" s="23">
        <f>IF(INDEX(Positions!$B$6:$B$35,INT((ROW()-5)/2)+1)="","",IF(MOD(ROW()-5,2)=0,INDEX(Positions!$Z$6:$Z$35,INT((ROW()-5)/2)+1),INDEX(Positions!$AA$6:$AA$35,INT((ROW()-5)/2)+1)))</f>
        <v/>
      </c>
      <c r="O35" s="22">
        <f>IF(INDEX(Positions!$B$6:$B$35,INT((ROW()-5)/2)+1)="","",IF(MOD(ROW()-5,2)=0,INDEX(Positions!$V$6:$V$35,INT((ROW()-5)/2)+1),INDEX(Positions!$W$6:$W$35,INT((ROW()-5)/2)+1)))</f>
        <v/>
      </c>
    </row>
    <row r="36">
      <c r="A36" s="21">
        <f>IF(INDEX(Positions!$B$6:$B$35,INT((ROW()-5)/2)+1)="","",IF(MOD(ROW()-5,2)=0,INDEX(Positions!$A$6:$A$35,INT((ROW()-5)/2)+1),INDEX(Positions!$I$6:$I$35,INT((ROW()-5)/2)+1)))</f>
        <v/>
      </c>
      <c r="B36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6" s="22">
        <f>IF(INDEX(Positions!$B$6:$B$35,INT((ROW()-5)/2)+1)="","",INDEX(Positions!$C$6:$C$35,INT((ROW()-5)/2)+1))</f>
        <v/>
      </c>
      <c r="D36" s="22">
        <f>IF(INDEX(Positions!$B$6:$B$35,INT((ROW()-5)/2)+1)="","",IF(MOD(ROW()-5,2)=0,INDEX(Positions!$D$6:$D$35,INT((ROW()-5)/2)+1),IF(INDEX(Positions!$D$6:$D$35,INT((ROW()-5)/2)+1)="buy","sell","buy")))</f>
        <v/>
      </c>
      <c r="E36" s="22">
        <f>IF(INDEX(Positions!$B$6:$B$35,INT((ROW()-5)/2)+1)="","",IF(MOD(ROW()-5,2)=0,"in","out"))</f>
        <v/>
      </c>
      <c r="F36" s="23">
        <f>IF(INDEX(Positions!$B$6:$B$35,INT((ROW()-5)/2)+1)="","",INDEX(Positions!$E$6:$E$35,INT((ROW()-5)/2)+1))</f>
        <v/>
      </c>
      <c r="G36" s="23">
        <f>IF(INDEX(Positions!$B$6:$B$35,INT((ROW()-5)/2)+1)="","",IF(MOD(ROW()-5,2)=0,INDEX(Positions!$F$6:$F$35,INT((ROW()-5)/2)+1),INDEX(Positions!$J$6:$J$35,INT((ROW()-5)/2)+1)))</f>
        <v/>
      </c>
      <c r="H36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6" s="22">
        <f>0</f>
        <v/>
      </c>
      <c r="J36" s="23">
        <f>IF(INDEX(Positions!$B$6:$B$35,INT((ROW()-5)/2)+1)="","",IF(MOD(ROW()-5,2)=0,0,INDEX(Positions!$K$6:$K$35,INT((ROW()-5)/2)+1)))</f>
        <v/>
      </c>
      <c r="K36" s="23">
        <f>IF(INDEX(Positions!$B$6:$B$35,INT((ROW()-5)/2)+1)="","",IF(MOD(ROW()-5,2)=0,0,INDEX(Positions!$X$6:$X$35,INT((ROW()-5)/2)+1)))</f>
        <v/>
      </c>
      <c r="L36" s="23">
        <f>IF(INDEX(Positions!$B$6:$B$35,INT((ROW()-5)/2)+1)="","",IF(MOD(ROW()-5,2)=0,0,INDEX(Positions!$L$6:$L$35,INT((ROW()-5)/2)+1)))</f>
        <v/>
      </c>
      <c r="M36" s="23">
        <f>IF(INDEX(Positions!$B$6:$B$35,INT((ROW()-5)/2)+1)="","",IF(MOD(ROW()-5,2)=0,0,INDEX(Positions!$M$6:$M$35,INT((ROW()-5)/2)+1)))</f>
        <v/>
      </c>
      <c r="N36" s="23">
        <f>IF(INDEX(Positions!$B$6:$B$35,INT((ROW()-5)/2)+1)="","",IF(MOD(ROW()-5,2)=0,INDEX(Positions!$Z$6:$Z$35,INT((ROW()-5)/2)+1),INDEX(Positions!$AA$6:$AA$35,INT((ROW()-5)/2)+1)))</f>
        <v/>
      </c>
      <c r="O36" s="22">
        <f>IF(INDEX(Positions!$B$6:$B$35,INT((ROW()-5)/2)+1)="","",IF(MOD(ROW()-5,2)=0,INDEX(Positions!$V$6:$V$35,INT((ROW()-5)/2)+1),INDEX(Positions!$W$6:$W$35,INT((ROW()-5)/2)+1)))</f>
        <v/>
      </c>
    </row>
    <row r="37">
      <c r="A37" s="21">
        <f>IF(INDEX(Positions!$B$6:$B$35,INT((ROW()-5)/2)+1)="","",IF(MOD(ROW()-5,2)=0,INDEX(Positions!$A$6:$A$35,INT((ROW()-5)/2)+1),INDEX(Positions!$I$6:$I$35,INT((ROW()-5)/2)+1)))</f>
        <v/>
      </c>
      <c r="B37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7" s="22">
        <f>IF(INDEX(Positions!$B$6:$B$35,INT((ROW()-5)/2)+1)="","",INDEX(Positions!$C$6:$C$35,INT((ROW()-5)/2)+1))</f>
        <v/>
      </c>
      <c r="D37" s="22">
        <f>IF(INDEX(Positions!$B$6:$B$35,INT((ROW()-5)/2)+1)="","",IF(MOD(ROW()-5,2)=0,INDEX(Positions!$D$6:$D$35,INT((ROW()-5)/2)+1),IF(INDEX(Positions!$D$6:$D$35,INT((ROW()-5)/2)+1)="buy","sell","buy")))</f>
        <v/>
      </c>
      <c r="E37" s="22">
        <f>IF(INDEX(Positions!$B$6:$B$35,INT((ROW()-5)/2)+1)="","",IF(MOD(ROW()-5,2)=0,"in","out"))</f>
        <v/>
      </c>
      <c r="F37" s="23">
        <f>IF(INDEX(Positions!$B$6:$B$35,INT((ROW()-5)/2)+1)="","",INDEX(Positions!$E$6:$E$35,INT((ROW()-5)/2)+1))</f>
        <v/>
      </c>
      <c r="G37" s="23">
        <f>IF(INDEX(Positions!$B$6:$B$35,INT((ROW()-5)/2)+1)="","",IF(MOD(ROW()-5,2)=0,INDEX(Positions!$F$6:$F$35,INT((ROW()-5)/2)+1),INDEX(Positions!$J$6:$J$35,INT((ROW()-5)/2)+1)))</f>
        <v/>
      </c>
      <c r="H37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7" s="22">
        <f>0</f>
        <v/>
      </c>
      <c r="J37" s="23">
        <f>IF(INDEX(Positions!$B$6:$B$35,INT((ROW()-5)/2)+1)="","",IF(MOD(ROW()-5,2)=0,0,INDEX(Positions!$K$6:$K$35,INT((ROW()-5)/2)+1)))</f>
        <v/>
      </c>
      <c r="K37" s="23">
        <f>IF(INDEX(Positions!$B$6:$B$35,INT((ROW()-5)/2)+1)="","",IF(MOD(ROW()-5,2)=0,0,INDEX(Positions!$X$6:$X$35,INT((ROW()-5)/2)+1)))</f>
        <v/>
      </c>
      <c r="L37" s="23">
        <f>IF(INDEX(Positions!$B$6:$B$35,INT((ROW()-5)/2)+1)="","",IF(MOD(ROW()-5,2)=0,0,INDEX(Positions!$L$6:$L$35,INT((ROW()-5)/2)+1)))</f>
        <v/>
      </c>
      <c r="M37" s="23">
        <f>IF(INDEX(Positions!$B$6:$B$35,INT((ROW()-5)/2)+1)="","",IF(MOD(ROW()-5,2)=0,0,INDEX(Positions!$M$6:$M$35,INT((ROW()-5)/2)+1)))</f>
        <v/>
      </c>
      <c r="N37" s="23">
        <f>IF(INDEX(Positions!$B$6:$B$35,INT((ROW()-5)/2)+1)="","",IF(MOD(ROW()-5,2)=0,INDEX(Positions!$Z$6:$Z$35,INT((ROW()-5)/2)+1),INDEX(Positions!$AA$6:$AA$35,INT((ROW()-5)/2)+1)))</f>
        <v/>
      </c>
      <c r="O37" s="22">
        <f>IF(INDEX(Positions!$B$6:$B$35,INT((ROW()-5)/2)+1)="","",IF(MOD(ROW()-5,2)=0,INDEX(Positions!$V$6:$V$35,INT((ROW()-5)/2)+1),INDEX(Positions!$W$6:$W$35,INT((ROW()-5)/2)+1)))</f>
        <v/>
      </c>
    </row>
    <row r="38">
      <c r="A38" s="21">
        <f>IF(INDEX(Positions!$B$6:$B$35,INT((ROW()-5)/2)+1)="","",IF(MOD(ROW()-5,2)=0,INDEX(Positions!$A$6:$A$35,INT((ROW()-5)/2)+1),INDEX(Positions!$I$6:$I$35,INT((ROW()-5)/2)+1)))</f>
        <v/>
      </c>
      <c r="B38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8" s="22">
        <f>IF(INDEX(Positions!$B$6:$B$35,INT((ROW()-5)/2)+1)="","",INDEX(Positions!$C$6:$C$35,INT((ROW()-5)/2)+1))</f>
        <v/>
      </c>
      <c r="D38" s="22">
        <f>IF(INDEX(Positions!$B$6:$B$35,INT((ROW()-5)/2)+1)="","",IF(MOD(ROW()-5,2)=0,INDEX(Positions!$D$6:$D$35,INT((ROW()-5)/2)+1),IF(INDEX(Positions!$D$6:$D$35,INT((ROW()-5)/2)+1)="buy","sell","buy")))</f>
        <v/>
      </c>
      <c r="E38" s="22">
        <f>IF(INDEX(Positions!$B$6:$B$35,INT((ROW()-5)/2)+1)="","",IF(MOD(ROW()-5,2)=0,"in","out"))</f>
        <v/>
      </c>
      <c r="F38" s="23">
        <f>IF(INDEX(Positions!$B$6:$B$35,INT((ROW()-5)/2)+1)="","",INDEX(Positions!$E$6:$E$35,INT((ROW()-5)/2)+1))</f>
        <v/>
      </c>
      <c r="G38" s="23">
        <f>IF(INDEX(Positions!$B$6:$B$35,INT((ROW()-5)/2)+1)="","",IF(MOD(ROW()-5,2)=0,INDEX(Positions!$F$6:$F$35,INT((ROW()-5)/2)+1),INDEX(Positions!$J$6:$J$35,INT((ROW()-5)/2)+1)))</f>
        <v/>
      </c>
      <c r="H38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8" s="22">
        <f>0</f>
        <v/>
      </c>
      <c r="J38" s="23">
        <f>IF(INDEX(Positions!$B$6:$B$35,INT((ROW()-5)/2)+1)="","",IF(MOD(ROW()-5,2)=0,0,INDEX(Positions!$K$6:$K$35,INT((ROW()-5)/2)+1)))</f>
        <v/>
      </c>
      <c r="K38" s="23">
        <f>IF(INDEX(Positions!$B$6:$B$35,INT((ROW()-5)/2)+1)="","",IF(MOD(ROW()-5,2)=0,0,INDEX(Positions!$X$6:$X$35,INT((ROW()-5)/2)+1)))</f>
        <v/>
      </c>
      <c r="L38" s="23">
        <f>IF(INDEX(Positions!$B$6:$B$35,INT((ROW()-5)/2)+1)="","",IF(MOD(ROW()-5,2)=0,0,INDEX(Positions!$L$6:$L$35,INT((ROW()-5)/2)+1)))</f>
        <v/>
      </c>
      <c r="M38" s="23">
        <f>IF(INDEX(Positions!$B$6:$B$35,INT((ROW()-5)/2)+1)="","",IF(MOD(ROW()-5,2)=0,0,INDEX(Positions!$M$6:$M$35,INT((ROW()-5)/2)+1)))</f>
        <v/>
      </c>
      <c r="N38" s="23">
        <f>IF(INDEX(Positions!$B$6:$B$35,INT((ROW()-5)/2)+1)="","",IF(MOD(ROW()-5,2)=0,INDEX(Positions!$Z$6:$Z$35,INT((ROW()-5)/2)+1),INDEX(Positions!$AA$6:$AA$35,INT((ROW()-5)/2)+1)))</f>
        <v/>
      </c>
      <c r="O38" s="22">
        <f>IF(INDEX(Positions!$B$6:$B$35,INT((ROW()-5)/2)+1)="","",IF(MOD(ROW()-5,2)=0,INDEX(Positions!$V$6:$V$35,INT((ROW()-5)/2)+1),INDEX(Positions!$W$6:$W$35,INT((ROW()-5)/2)+1)))</f>
        <v/>
      </c>
    </row>
    <row r="39">
      <c r="A39" s="21">
        <f>IF(INDEX(Positions!$B$6:$B$35,INT((ROW()-5)/2)+1)="","",IF(MOD(ROW()-5,2)=0,INDEX(Positions!$A$6:$A$35,INT((ROW()-5)/2)+1),INDEX(Positions!$I$6:$I$35,INT((ROW()-5)/2)+1)))</f>
        <v/>
      </c>
      <c r="B39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39" s="22">
        <f>IF(INDEX(Positions!$B$6:$B$35,INT((ROW()-5)/2)+1)="","",INDEX(Positions!$C$6:$C$35,INT((ROW()-5)/2)+1))</f>
        <v/>
      </c>
      <c r="D39" s="22">
        <f>IF(INDEX(Positions!$B$6:$B$35,INT((ROW()-5)/2)+1)="","",IF(MOD(ROW()-5,2)=0,INDEX(Positions!$D$6:$D$35,INT((ROW()-5)/2)+1),IF(INDEX(Positions!$D$6:$D$35,INT((ROW()-5)/2)+1)="buy","sell","buy")))</f>
        <v/>
      </c>
      <c r="E39" s="22">
        <f>IF(INDEX(Positions!$B$6:$B$35,INT((ROW()-5)/2)+1)="","",IF(MOD(ROW()-5,2)=0,"in","out"))</f>
        <v/>
      </c>
      <c r="F39" s="23">
        <f>IF(INDEX(Positions!$B$6:$B$35,INT((ROW()-5)/2)+1)="","",INDEX(Positions!$E$6:$E$35,INT((ROW()-5)/2)+1))</f>
        <v/>
      </c>
      <c r="G39" s="23">
        <f>IF(INDEX(Positions!$B$6:$B$35,INT((ROW()-5)/2)+1)="","",IF(MOD(ROW()-5,2)=0,INDEX(Positions!$F$6:$F$35,INT((ROW()-5)/2)+1),INDEX(Positions!$J$6:$J$35,INT((ROW()-5)/2)+1)))</f>
        <v/>
      </c>
      <c r="H39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39" s="22">
        <f>0</f>
        <v/>
      </c>
      <c r="J39" s="23">
        <f>IF(INDEX(Positions!$B$6:$B$35,INT((ROW()-5)/2)+1)="","",IF(MOD(ROW()-5,2)=0,0,INDEX(Positions!$K$6:$K$35,INT((ROW()-5)/2)+1)))</f>
        <v/>
      </c>
      <c r="K39" s="23">
        <f>IF(INDEX(Positions!$B$6:$B$35,INT((ROW()-5)/2)+1)="","",IF(MOD(ROW()-5,2)=0,0,INDEX(Positions!$X$6:$X$35,INT((ROW()-5)/2)+1)))</f>
        <v/>
      </c>
      <c r="L39" s="23">
        <f>IF(INDEX(Positions!$B$6:$B$35,INT((ROW()-5)/2)+1)="","",IF(MOD(ROW()-5,2)=0,0,INDEX(Positions!$L$6:$L$35,INT((ROW()-5)/2)+1)))</f>
        <v/>
      </c>
      <c r="M39" s="23">
        <f>IF(INDEX(Positions!$B$6:$B$35,INT((ROW()-5)/2)+1)="","",IF(MOD(ROW()-5,2)=0,0,INDEX(Positions!$M$6:$M$35,INT((ROW()-5)/2)+1)))</f>
        <v/>
      </c>
      <c r="N39" s="23">
        <f>IF(INDEX(Positions!$B$6:$B$35,INT((ROW()-5)/2)+1)="","",IF(MOD(ROW()-5,2)=0,INDEX(Positions!$Z$6:$Z$35,INT((ROW()-5)/2)+1),INDEX(Positions!$AA$6:$AA$35,INT((ROW()-5)/2)+1)))</f>
        <v/>
      </c>
      <c r="O39" s="22">
        <f>IF(INDEX(Positions!$B$6:$B$35,INT((ROW()-5)/2)+1)="","",IF(MOD(ROW()-5,2)=0,INDEX(Positions!$V$6:$V$35,INT((ROW()-5)/2)+1),INDEX(Positions!$W$6:$W$35,INT((ROW()-5)/2)+1)))</f>
        <v/>
      </c>
    </row>
    <row r="40">
      <c r="A40" s="21">
        <f>IF(INDEX(Positions!$B$6:$B$35,INT((ROW()-5)/2)+1)="","",IF(MOD(ROW()-5,2)=0,INDEX(Positions!$A$6:$A$35,INT((ROW()-5)/2)+1),INDEX(Positions!$I$6:$I$35,INT((ROW()-5)/2)+1)))</f>
        <v/>
      </c>
      <c r="B40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0" s="22">
        <f>IF(INDEX(Positions!$B$6:$B$35,INT((ROW()-5)/2)+1)="","",INDEX(Positions!$C$6:$C$35,INT((ROW()-5)/2)+1))</f>
        <v/>
      </c>
      <c r="D40" s="22">
        <f>IF(INDEX(Positions!$B$6:$B$35,INT((ROW()-5)/2)+1)="","",IF(MOD(ROW()-5,2)=0,INDEX(Positions!$D$6:$D$35,INT((ROW()-5)/2)+1),IF(INDEX(Positions!$D$6:$D$35,INT((ROW()-5)/2)+1)="buy","sell","buy")))</f>
        <v/>
      </c>
      <c r="E40" s="22">
        <f>IF(INDEX(Positions!$B$6:$B$35,INT((ROW()-5)/2)+1)="","",IF(MOD(ROW()-5,2)=0,"in","out"))</f>
        <v/>
      </c>
      <c r="F40" s="23">
        <f>IF(INDEX(Positions!$B$6:$B$35,INT((ROW()-5)/2)+1)="","",INDEX(Positions!$E$6:$E$35,INT((ROW()-5)/2)+1))</f>
        <v/>
      </c>
      <c r="G40" s="23">
        <f>IF(INDEX(Positions!$B$6:$B$35,INT((ROW()-5)/2)+1)="","",IF(MOD(ROW()-5,2)=0,INDEX(Positions!$F$6:$F$35,INT((ROW()-5)/2)+1),INDEX(Positions!$J$6:$J$35,INT((ROW()-5)/2)+1)))</f>
        <v/>
      </c>
      <c r="H40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0" s="22">
        <f>0</f>
        <v/>
      </c>
      <c r="J40" s="23">
        <f>IF(INDEX(Positions!$B$6:$B$35,INT((ROW()-5)/2)+1)="","",IF(MOD(ROW()-5,2)=0,0,INDEX(Positions!$K$6:$K$35,INT((ROW()-5)/2)+1)))</f>
        <v/>
      </c>
      <c r="K40" s="23">
        <f>IF(INDEX(Positions!$B$6:$B$35,INT((ROW()-5)/2)+1)="","",IF(MOD(ROW()-5,2)=0,0,INDEX(Positions!$X$6:$X$35,INT((ROW()-5)/2)+1)))</f>
        <v/>
      </c>
      <c r="L40" s="23">
        <f>IF(INDEX(Positions!$B$6:$B$35,INT((ROW()-5)/2)+1)="","",IF(MOD(ROW()-5,2)=0,0,INDEX(Positions!$L$6:$L$35,INT((ROW()-5)/2)+1)))</f>
        <v/>
      </c>
      <c r="M40" s="23">
        <f>IF(INDEX(Positions!$B$6:$B$35,INT((ROW()-5)/2)+1)="","",IF(MOD(ROW()-5,2)=0,0,INDEX(Positions!$M$6:$M$35,INT((ROW()-5)/2)+1)))</f>
        <v/>
      </c>
      <c r="N40" s="23">
        <f>IF(INDEX(Positions!$B$6:$B$35,INT((ROW()-5)/2)+1)="","",IF(MOD(ROW()-5,2)=0,INDEX(Positions!$Z$6:$Z$35,INT((ROW()-5)/2)+1),INDEX(Positions!$AA$6:$AA$35,INT((ROW()-5)/2)+1)))</f>
        <v/>
      </c>
      <c r="O40" s="22">
        <f>IF(INDEX(Positions!$B$6:$B$35,INT((ROW()-5)/2)+1)="","",IF(MOD(ROW()-5,2)=0,INDEX(Positions!$V$6:$V$35,INT((ROW()-5)/2)+1),INDEX(Positions!$W$6:$W$35,INT((ROW()-5)/2)+1)))</f>
        <v/>
      </c>
    </row>
    <row r="41">
      <c r="A41" s="21">
        <f>IF(INDEX(Positions!$B$6:$B$35,INT((ROW()-5)/2)+1)="","",IF(MOD(ROW()-5,2)=0,INDEX(Positions!$A$6:$A$35,INT((ROW()-5)/2)+1),INDEX(Positions!$I$6:$I$35,INT((ROW()-5)/2)+1)))</f>
        <v/>
      </c>
      <c r="B41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1" s="22">
        <f>IF(INDEX(Positions!$B$6:$B$35,INT((ROW()-5)/2)+1)="","",INDEX(Positions!$C$6:$C$35,INT((ROW()-5)/2)+1))</f>
        <v/>
      </c>
      <c r="D41" s="22">
        <f>IF(INDEX(Positions!$B$6:$B$35,INT((ROW()-5)/2)+1)="","",IF(MOD(ROW()-5,2)=0,INDEX(Positions!$D$6:$D$35,INT((ROW()-5)/2)+1),IF(INDEX(Positions!$D$6:$D$35,INT((ROW()-5)/2)+1)="buy","sell","buy")))</f>
        <v/>
      </c>
      <c r="E41" s="22">
        <f>IF(INDEX(Positions!$B$6:$B$35,INT((ROW()-5)/2)+1)="","",IF(MOD(ROW()-5,2)=0,"in","out"))</f>
        <v/>
      </c>
      <c r="F41" s="23">
        <f>IF(INDEX(Positions!$B$6:$B$35,INT((ROW()-5)/2)+1)="","",INDEX(Positions!$E$6:$E$35,INT((ROW()-5)/2)+1))</f>
        <v/>
      </c>
      <c r="G41" s="23">
        <f>IF(INDEX(Positions!$B$6:$B$35,INT((ROW()-5)/2)+1)="","",IF(MOD(ROW()-5,2)=0,INDEX(Positions!$F$6:$F$35,INT((ROW()-5)/2)+1),INDEX(Positions!$J$6:$J$35,INT((ROW()-5)/2)+1)))</f>
        <v/>
      </c>
      <c r="H41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1" s="22">
        <f>0</f>
        <v/>
      </c>
      <c r="J41" s="23">
        <f>IF(INDEX(Positions!$B$6:$B$35,INT((ROW()-5)/2)+1)="","",IF(MOD(ROW()-5,2)=0,0,INDEX(Positions!$K$6:$K$35,INT((ROW()-5)/2)+1)))</f>
        <v/>
      </c>
      <c r="K41" s="23">
        <f>IF(INDEX(Positions!$B$6:$B$35,INT((ROW()-5)/2)+1)="","",IF(MOD(ROW()-5,2)=0,0,INDEX(Positions!$X$6:$X$35,INT((ROW()-5)/2)+1)))</f>
        <v/>
      </c>
      <c r="L41" s="23">
        <f>IF(INDEX(Positions!$B$6:$B$35,INT((ROW()-5)/2)+1)="","",IF(MOD(ROW()-5,2)=0,0,INDEX(Positions!$L$6:$L$35,INT((ROW()-5)/2)+1)))</f>
        <v/>
      </c>
      <c r="M41" s="23">
        <f>IF(INDEX(Positions!$B$6:$B$35,INT((ROW()-5)/2)+1)="","",IF(MOD(ROW()-5,2)=0,0,INDEX(Positions!$M$6:$M$35,INT((ROW()-5)/2)+1)))</f>
        <v/>
      </c>
      <c r="N41" s="23">
        <f>IF(INDEX(Positions!$B$6:$B$35,INT((ROW()-5)/2)+1)="","",IF(MOD(ROW()-5,2)=0,INDEX(Positions!$Z$6:$Z$35,INT((ROW()-5)/2)+1),INDEX(Positions!$AA$6:$AA$35,INT((ROW()-5)/2)+1)))</f>
        <v/>
      </c>
      <c r="O41" s="22">
        <f>IF(INDEX(Positions!$B$6:$B$35,INT((ROW()-5)/2)+1)="","",IF(MOD(ROW()-5,2)=0,INDEX(Positions!$V$6:$V$35,INT((ROW()-5)/2)+1),INDEX(Positions!$W$6:$W$35,INT((ROW()-5)/2)+1)))</f>
        <v/>
      </c>
    </row>
    <row r="42">
      <c r="A42" s="21">
        <f>IF(INDEX(Positions!$B$6:$B$35,INT((ROW()-5)/2)+1)="","",IF(MOD(ROW()-5,2)=0,INDEX(Positions!$A$6:$A$35,INT((ROW()-5)/2)+1),INDEX(Positions!$I$6:$I$35,INT((ROW()-5)/2)+1)))</f>
        <v/>
      </c>
      <c r="B42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2" s="22">
        <f>IF(INDEX(Positions!$B$6:$B$35,INT((ROW()-5)/2)+1)="","",INDEX(Positions!$C$6:$C$35,INT((ROW()-5)/2)+1))</f>
        <v/>
      </c>
      <c r="D42" s="22">
        <f>IF(INDEX(Positions!$B$6:$B$35,INT((ROW()-5)/2)+1)="","",IF(MOD(ROW()-5,2)=0,INDEX(Positions!$D$6:$D$35,INT((ROW()-5)/2)+1),IF(INDEX(Positions!$D$6:$D$35,INT((ROW()-5)/2)+1)="buy","sell","buy")))</f>
        <v/>
      </c>
      <c r="E42" s="22">
        <f>IF(INDEX(Positions!$B$6:$B$35,INT((ROW()-5)/2)+1)="","",IF(MOD(ROW()-5,2)=0,"in","out"))</f>
        <v/>
      </c>
      <c r="F42" s="23">
        <f>IF(INDEX(Positions!$B$6:$B$35,INT((ROW()-5)/2)+1)="","",INDEX(Positions!$E$6:$E$35,INT((ROW()-5)/2)+1))</f>
        <v/>
      </c>
      <c r="G42" s="23">
        <f>IF(INDEX(Positions!$B$6:$B$35,INT((ROW()-5)/2)+1)="","",IF(MOD(ROW()-5,2)=0,INDEX(Positions!$F$6:$F$35,INT((ROW()-5)/2)+1),INDEX(Positions!$J$6:$J$35,INT((ROW()-5)/2)+1)))</f>
        <v/>
      </c>
      <c r="H42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2" s="22">
        <f>0</f>
        <v/>
      </c>
      <c r="J42" s="23">
        <f>IF(INDEX(Positions!$B$6:$B$35,INT((ROW()-5)/2)+1)="","",IF(MOD(ROW()-5,2)=0,0,INDEX(Positions!$K$6:$K$35,INT((ROW()-5)/2)+1)))</f>
        <v/>
      </c>
      <c r="K42" s="23">
        <f>IF(INDEX(Positions!$B$6:$B$35,INT((ROW()-5)/2)+1)="","",IF(MOD(ROW()-5,2)=0,0,INDEX(Positions!$X$6:$X$35,INT((ROW()-5)/2)+1)))</f>
        <v/>
      </c>
      <c r="L42" s="23">
        <f>IF(INDEX(Positions!$B$6:$B$35,INT((ROW()-5)/2)+1)="","",IF(MOD(ROW()-5,2)=0,0,INDEX(Positions!$L$6:$L$35,INT((ROW()-5)/2)+1)))</f>
        <v/>
      </c>
      <c r="M42" s="23">
        <f>IF(INDEX(Positions!$B$6:$B$35,INT((ROW()-5)/2)+1)="","",IF(MOD(ROW()-5,2)=0,0,INDEX(Positions!$M$6:$M$35,INT((ROW()-5)/2)+1)))</f>
        <v/>
      </c>
      <c r="N42" s="23">
        <f>IF(INDEX(Positions!$B$6:$B$35,INT((ROW()-5)/2)+1)="","",IF(MOD(ROW()-5,2)=0,INDEX(Positions!$Z$6:$Z$35,INT((ROW()-5)/2)+1),INDEX(Positions!$AA$6:$AA$35,INT((ROW()-5)/2)+1)))</f>
        <v/>
      </c>
      <c r="O42" s="22">
        <f>IF(INDEX(Positions!$B$6:$B$35,INT((ROW()-5)/2)+1)="","",IF(MOD(ROW()-5,2)=0,INDEX(Positions!$V$6:$V$35,INT((ROW()-5)/2)+1),INDEX(Positions!$W$6:$W$35,INT((ROW()-5)/2)+1)))</f>
        <v/>
      </c>
    </row>
    <row r="43">
      <c r="A43" s="21">
        <f>IF(INDEX(Positions!$B$6:$B$35,INT((ROW()-5)/2)+1)="","",IF(MOD(ROW()-5,2)=0,INDEX(Positions!$A$6:$A$35,INT((ROW()-5)/2)+1),INDEX(Positions!$I$6:$I$35,INT((ROW()-5)/2)+1)))</f>
        <v/>
      </c>
      <c r="B43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3" s="22">
        <f>IF(INDEX(Positions!$B$6:$B$35,INT((ROW()-5)/2)+1)="","",INDEX(Positions!$C$6:$C$35,INT((ROW()-5)/2)+1))</f>
        <v/>
      </c>
      <c r="D43" s="22">
        <f>IF(INDEX(Positions!$B$6:$B$35,INT((ROW()-5)/2)+1)="","",IF(MOD(ROW()-5,2)=0,INDEX(Positions!$D$6:$D$35,INT((ROW()-5)/2)+1),IF(INDEX(Positions!$D$6:$D$35,INT((ROW()-5)/2)+1)="buy","sell","buy")))</f>
        <v/>
      </c>
      <c r="E43" s="22">
        <f>IF(INDEX(Positions!$B$6:$B$35,INT((ROW()-5)/2)+1)="","",IF(MOD(ROW()-5,2)=0,"in","out"))</f>
        <v/>
      </c>
      <c r="F43" s="23">
        <f>IF(INDEX(Positions!$B$6:$B$35,INT((ROW()-5)/2)+1)="","",INDEX(Positions!$E$6:$E$35,INT((ROW()-5)/2)+1))</f>
        <v/>
      </c>
      <c r="G43" s="23">
        <f>IF(INDEX(Positions!$B$6:$B$35,INT((ROW()-5)/2)+1)="","",IF(MOD(ROW()-5,2)=0,INDEX(Positions!$F$6:$F$35,INT((ROW()-5)/2)+1),INDEX(Positions!$J$6:$J$35,INT((ROW()-5)/2)+1)))</f>
        <v/>
      </c>
      <c r="H43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3" s="22">
        <f>0</f>
        <v/>
      </c>
      <c r="J43" s="23">
        <f>IF(INDEX(Positions!$B$6:$B$35,INT((ROW()-5)/2)+1)="","",IF(MOD(ROW()-5,2)=0,0,INDEX(Positions!$K$6:$K$35,INT((ROW()-5)/2)+1)))</f>
        <v/>
      </c>
      <c r="K43" s="23">
        <f>IF(INDEX(Positions!$B$6:$B$35,INT((ROW()-5)/2)+1)="","",IF(MOD(ROW()-5,2)=0,0,INDEX(Positions!$X$6:$X$35,INT((ROW()-5)/2)+1)))</f>
        <v/>
      </c>
      <c r="L43" s="23">
        <f>IF(INDEX(Positions!$B$6:$B$35,INT((ROW()-5)/2)+1)="","",IF(MOD(ROW()-5,2)=0,0,INDEX(Positions!$L$6:$L$35,INT((ROW()-5)/2)+1)))</f>
        <v/>
      </c>
      <c r="M43" s="23">
        <f>IF(INDEX(Positions!$B$6:$B$35,INT((ROW()-5)/2)+1)="","",IF(MOD(ROW()-5,2)=0,0,INDEX(Positions!$M$6:$M$35,INT((ROW()-5)/2)+1)))</f>
        <v/>
      </c>
      <c r="N43" s="23">
        <f>IF(INDEX(Positions!$B$6:$B$35,INT((ROW()-5)/2)+1)="","",IF(MOD(ROW()-5,2)=0,INDEX(Positions!$Z$6:$Z$35,INT((ROW()-5)/2)+1),INDEX(Positions!$AA$6:$AA$35,INT((ROW()-5)/2)+1)))</f>
        <v/>
      </c>
      <c r="O43" s="22">
        <f>IF(INDEX(Positions!$B$6:$B$35,INT((ROW()-5)/2)+1)="","",IF(MOD(ROW()-5,2)=0,INDEX(Positions!$V$6:$V$35,INT((ROW()-5)/2)+1),INDEX(Positions!$W$6:$W$35,INT((ROW()-5)/2)+1)))</f>
        <v/>
      </c>
    </row>
    <row r="44">
      <c r="A44" s="21">
        <f>IF(INDEX(Positions!$B$6:$B$35,INT((ROW()-5)/2)+1)="","",IF(MOD(ROW()-5,2)=0,INDEX(Positions!$A$6:$A$35,INT((ROW()-5)/2)+1),INDEX(Positions!$I$6:$I$35,INT((ROW()-5)/2)+1)))</f>
        <v/>
      </c>
      <c r="B44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4" s="22">
        <f>IF(INDEX(Positions!$B$6:$B$35,INT((ROW()-5)/2)+1)="","",INDEX(Positions!$C$6:$C$35,INT((ROW()-5)/2)+1))</f>
        <v/>
      </c>
      <c r="D44" s="22">
        <f>IF(INDEX(Positions!$B$6:$B$35,INT((ROW()-5)/2)+1)="","",IF(MOD(ROW()-5,2)=0,INDEX(Positions!$D$6:$D$35,INT((ROW()-5)/2)+1),IF(INDEX(Positions!$D$6:$D$35,INT((ROW()-5)/2)+1)="buy","sell","buy")))</f>
        <v/>
      </c>
      <c r="E44" s="22">
        <f>IF(INDEX(Positions!$B$6:$B$35,INT((ROW()-5)/2)+1)="","",IF(MOD(ROW()-5,2)=0,"in","out"))</f>
        <v/>
      </c>
      <c r="F44" s="23">
        <f>IF(INDEX(Positions!$B$6:$B$35,INT((ROW()-5)/2)+1)="","",INDEX(Positions!$E$6:$E$35,INT((ROW()-5)/2)+1))</f>
        <v/>
      </c>
      <c r="G44" s="23">
        <f>IF(INDEX(Positions!$B$6:$B$35,INT((ROW()-5)/2)+1)="","",IF(MOD(ROW()-5,2)=0,INDEX(Positions!$F$6:$F$35,INT((ROW()-5)/2)+1),INDEX(Positions!$J$6:$J$35,INT((ROW()-5)/2)+1)))</f>
        <v/>
      </c>
      <c r="H44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4" s="22">
        <f>0</f>
        <v/>
      </c>
      <c r="J44" s="23">
        <f>IF(INDEX(Positions!$B$6:$B$35,INT((ROW()-5)/2)+1)="","",IF(MOD(ROW()-5,2)=0,0,INDEX(Positions!$K$6:$K$35,INT((ROW()-5)/2)+1)))</f>
        <v/>
      </c>
      <c r="K44" s="23">
        <f>IF(INDEX(Positions!$B$6:$B$35,INT((ROW()-5)/2)+1)="","",IF(MOD(ROW()-5,2)=0,0,INDEX(Positions!$X$6:$X$35,INT((ROW()-5)/2)+1)))</f>
        <v/>
      </c>
      <c r="L44" s="23">
        <f>IF(INDEX(Positions!$B$6:$B$35,INT((ROW()-5)/2)+1)="","",IF(MOD(ROW()-5,2)=0,0,INDEX(Positions!$L$6:$L$35,INT((ROW()-5)/2)+1)))</f>
        <v/>
      </c>
      <c r="M44" s="23">
        <f>IF(INDEX(Positions!$B$6:$B$35,INT((ROW()-5)/2)+1)="","",IF(MOD(ROW()-5,2)=0,0,INDEX(Positions!$M$6:$M$35,INT((ROW()-5)/2)+1)))</f>
        <v/>
      </c>
      <c r="N44" s="23">
        <f>IF(INDEX(Positions!$B$6:$B$35,INT((ROW()-5)/2)+1)="","",IF(MOD(ROW()-5,2)=0,INDEX(Positions!$Z$6:$Z$35,INT((ROW()-5)/2)+1),INDEX(Positions!$AA$6:$AA$35,INT((ROW()-5)/2)+1)))</f>
        <v/>
      </c>
      <c r="O44" s="22">
        <f>IF(INDEX(Positions!$B$6:$B$35,INT((ROW()-5)/2)+1)="","",IF(MOD(ROW()-5,2)=0,INDEX(Positions!$V$6:$V$35,INT((ROW()-5)/2)+1),INDEX(Positions!$W$6:$W$35,INT((ROW()-5)/2)+1)))</f>
        <v/>
      </c>
    </row>
    <row r="45">
      <c r="A45" s="21">
        <f>IF(INDEX(Positions!$B$6:$B$35,INT((ROW()-5)/2)+1)="","",IF(MOD(ROW()-5,2)=0,INDEX(Positions!$A$6:$A$35,INT((ROW()-5)/2)+1),INDEX(Positions!$I$6:$I$35,INT((ROW()-5)/2)+1)))</f>
        <v/>
      </c>
      <c r="B45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5" s="22">
        <f>IF(INDEX(Positions!$B$6:$B$35,INT((ROW()-5)/2)+1)="","",INDEX(Positions!$C$6:$C$35,INT((ROW()-5)/2)+1))</f>
        <v/>
      </c>
      <c r="D45" s="22">
        <f>IF(INDEX(Positions!$B$6:$B$35,INT((ROW()-5)/2)+1)="","",IF(MOD(ROW()-5,2)=0,INDEX(Positions!$D$6:$D$35,INT((ROW()-5)/2)+1),IF(INDEX(Positions!$D$6:$D$35,INT((ROW()-5)/2)+1)="buy","sell","buy")))</f>
        <v/>
      </c>
      <c r="E45" s="22">
        <f>IF(INDEX(Positions!$B$6:$B$35,INT((ROW()-5)/2)+1)="","",IF(MOD(ROW()-5,2)=0,"in","out"))</f>
        <v/>
      </c>
      <c r="F45" s="23">
        <f>IF(INDEX(Positions!$B$6:$B$35,INT((ROW()-5)/2)+1)="","",INDEX(Positions!$E$6:$E$35,INT((ROW()-5)/2)+1))</f>
        <v/>
      </c>
      <c r="G45" s="23">
        <f>IF(INDEX(Positions!$B$6:$B$35,INT((ROW()-5)/2)+1)="","",IF(MOD(ROW()-5,2)=0,INDEX(Positions!$F$6:$F$35,INT((ROW()-5)/2)+1),INDEX(Positions!$J$6:$J$35,INT((ROW()-5)/2)+1)))</f>
        <v/>
      </c>
      <c r="H45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5" s="22">
        <f>0</f>
        <v/>
      </c>
      <c r="J45" s="23">
        <f>IF(INDEX(Positions!$B$6:$B$35,INT((ROW()-5)/2)+1)="","",IF(MOD(ROW()-5,2)=0,0,INDEX(Positions!$K$6:$K$35,INT((ROW()-5)/2)+1)))</f>
        <v/>
      </c>
      <c r="K45" s="23">
        <f>IF(INDEX(Positions!$B$6:$B$35,INT((ROW()-5)/2)+1)="","",IF(MOD(ROW()-5,2)=0,0,INDEX(Positions!$X$6:$X$35,INT((ROW()-5)/2)+1)))</f>
        <v/>
      </c>
      <c r="L45" s="23">
        <f>IF(INDEX(Positions!$B$6:$B$35,INT((ROW()-5)/2)+1)="","",IF(MOD(ROW()-5,2)=0,0,INDEX(Positions!$L$6:$L$35,INT((ROW()-5)/2)+1)))</f>
        <v/>
      </c>
      <c r="M45" s="23">
        <f>IF(INDEX(Positions!$B$6:$B$35,INT((ROW()-5)/2)+1)="","",IF(MOD(ROW()-5,2)=0,0,INDEX(Positions!$M$6:$M$35,INT((ROW()-5)/2)+1)))</f>
        <v/>
      </c>
      <c r="N45" s="23">
        <f>IF(INDEX(Positions!$B$6:$B$35,INT((ROW()-5)/2)+1)="","",IF(MOD(ROW()-5,2)=0,INDEX(Positions!$Z$6:$Z$35,INT((ROW()-5)/2)+1),INDEX(Positions!$AA$6:$AA$35,INT((ROW()-5)/2)+1)))</f>
        <v/>
      </c>
      <c r="O45" s="22">
        <f>IF(INDEX(Positions!$B$6:$B$35,INT((ROW()-5)/2)+1)="","",IF(MOD(ROW()-5,2)=0,INDEX(Positions!$V$6:$V$35,INT((ROW()-5)/2)+1),INDEX(Positions!$W$6:$W$35,INT((ROW()-5)/2)+1)))</f>
        <v/>
      </c>
    </row>
    <row r="46">
      <c r="A46" s="21">
        <f>IF(INDEX(Positions!$B$6:$B$35,INT((ROW()-5)/2)+1)="","",IF(MOD(ROW()-5,2)=0,INDEX(Positions!$A$6:$A$35,INT((ROW()-5)/2)+1),INDEX(Positions!$I$6:$I$35,INT((ROW()-5)/2)+1)))</f>
        <v/>
      </c>
      <c r="B46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6" s="22">
        <f>IF(INDEX(Positions!$B$6:$B$35,INT((ROW()-5)/2)+1)="","",INDEX(Positions!$C$6:$C$35,INT((ROW()-5)/2)+1))</f>
        <v/>
      </c>
      <c r="D46" s="22">
        <f>IF(INDEX(Positions!$B$6:$B$35,INT((ROW()-5)/2)+1)="","",IF(MOD(ROW()-5,2)=0,INDEX(Positions!$D$6:$D$35,INT((ROW()-5)/2)+1),IF(INDEX(Positions!$D$6:$D$35,INT((ROW()-5)/2)+1)="buy","sell","buy")))</f>
        <v/>
      </c>
      <c r="E46" s="22">
        <f>IF(INDEX(Positions!$B$6:$B$35,INT((ROW()-5)/2)+1)="","",IF(MOD(ROW()-5,2)=0,"in","out"))</f>
        <v/>
      </c>
      <c r="F46" s="23">
        <f>IF(INDEX(Positions!$B$6:$B$35,INT((ROW()-5)/2)+1)="","",INDEX(Positions!$E$6:$E$35,INT((ROW()-5)/2)+1))</f>
        <v/>
      </c>
      <c r="G46" s="23">
        <f>IF(INDEX(Positions!$B$6:$B$35,INT((ROW()-5)/2)+1)="","",IF(MOD(ROW()-5,2)=0,INDEX(Positions!$F$6:$F$35,INT((ROW()-5)/2)+1),INDEX(Positions!$J$6:$J$35,INT((ROW()-5)/2)+1)))</f>
        <v/>
      </c>
      <c r="H46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6" s="22">
        <f>0</f>
        <v/>
      </c>
      <c r="J46" s="23">
        <f>IF(INDEX(Positions!$B$6:$B$35,INT((ROW()-5)/2)+1)="","",IF(MOD(ROW()-5,2)=0,0,INDEX(Positions!$K$6:$K$35,INT((ROW()-5)/2)+1)))</f>
        <v/>
      </c>
      <c r="K46" s="23">
        <f>IF(INDEX(Positions!$B$6:$B$35,INT((ROW()-5)/2)+1)="","",IF(MOD(ROW()-5,2)=0,0,INDEX(Positions!$X$6:$X$35,INT((ROW()-5)/2)+1)))</f>
        <v/>
      </c>
      <c r="L46" s="23">
        <f>IF(INDEX(Positions!$B$6:$B$35,INT((ROW()-5)/2)+1)="","",IF(MOD(ROW()-5,2)=0,0,INDEX(Positions!$L$6:$L$35,INT((ROW()-5)/2)+1)))</f>
        <v/>
      </c>
      <c r="M46" s="23">
        <f>IF(INDEX(Positions!$B$6:$B$35,INT((ROW()-5)/2)+1)="","",IF(MOD(ROW()-5,2)=0,0,INDEX(Positions!$M$6:$M$35,INT((ROW()-5)/2)+1)))</f>
        <v/>
      </c>
      <c r="N46" s="23">
        <f>IF(INDEX(Positions!$B$6:$B$35,INT((ROW()-5)/2)+1)="","",IF(MOD(ROW()-5,2)=0,INDEX(Positions!$Z$6:$Z$35,INT((ROW()-5)/2)+1),INDEX(Positions!$AA$6:$AA$35,INT((ROW()-5)/2)+1)))</f>
        <v/>
      </c>
      <c r="O46" s="22">
        <f>IF(INDEX(Positions!$B$6:$B$35,INT((ROW()-5)/2)+1)="","",IF(MOD(ROW()-5,2)=0,INDEX(Positions!$V$6:$V$35,INT((ROW()-5)/2)+1),INDEX(Positions!$W$6:$W$35,INT((ROW()-5)/2)+1)))</f>
        <v/>
      </c>
    </row>
    <row r="47">
      <c r="A47" s="21">
        <f>IF(INDEX(Positions!$B$6:$B$35,INT((ROW()-5)/2)+1)="","",IF(MOD(ROW()-5,2)=0,INDEX(Positions!$A$6:$A$35,INT((ROW()-5)/2)+1),INDEX(Positions!$I$6:$I$35,INT((ROW()-5)/2)+1)))</f>
        <v/>
      </c>
      <c r="B47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7" s="22">
        <f>IF(INDEX(Positions!$B$6:$B$35,INT((ROW()-5)/2)+1)="","",INDEX(Positions!$C$6:$C$35,INT((ROW()-5)/2)+1))</f>
        <v/>
      </c>
      <c r="D47" s="22">
        <f>IF(INDEX(Positions!$B$6:$B$35,INT((ROW()-5)/2)+1)="","",IF(MOD(ROW()-5,2)=0,INDEX(Positions!$D$6:$D$35,INT((ROW()-5)/2)+1),IF(INDEX(Positions!$D$6:$D$35,INT((ROW()-5)/2)+1)="buy","sell","buy")))</f>
        <v/>
      </c>
      <c r="E47" s="22">
        <f>IF(INDEX(Positions!$B$6:$B$35,INT((ROW()-5)/2)+1)="","",IF(MOD(ROW()-5,2)=0,"in","out"))</f>
        <v/>
      </c>
      <c r="F47" s="23">
        <f>IF(INDEX(Positions!$B$6:$B$35,INT((ROW()-5)/2)+1)="","",INDEX(Positions!$E$6:$E$35,INT((ROW()-5)/2)+1))</f>
        <v/>
      </c>
      <c r="G47" s="23">
        <f>IF(INDEX(Positions!$B$6:$B$35,INT((ROW()-5)/2)+1)="","",IF(MOD(ROW()-5,2)=0,INDEX(Positions!$F$6:$F$35,INT((ROW()-5)/2)+1),INDEX(Positions!$J$6:$J$35,INT((ROW()-5)/2)+1)))</f>
        <v/>
      </c>
      <c r="H47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7" s="22">
        <f>0</f>
        <v/>
      </c>
      <c r="J47" s="23">
        <f>IF(INDEX(Positions!$B$6:$B$35,INT((ROW()-5)/2)+1)="","",IF(MOD(ROW()-5,2)=0,0,INDEX(Positions!$K$6:$K$35,INT((ROW()-5)/2)+1)))</f>
        <v/>
      </c>
      <c r="K47" s="23">
        <f>IF(INDEX(Positions!$B$6:$B$35,INT((ROW()-5)/2)+1)="","",IF(MOD(ROW()-5,2)=0,0,INDEX(Positions!$X$6:$X$35,INT((ROW()-5)/2)+1)))</f>
        <v/>
      </c>
      <c r="L47" s="23">
        <f>IF(INDEX(Positions!$B$6:$B$35,INT((ROW()-5)/2)+1)="","",IF(MOD(ROW()-5,2)=0,0,INDEX(Positions!$L$6:$L$35,INT((ROW()-5)/2)+1)))</f>
        <v/>
      </c>
      <c r="M47" s="23">
        <f>IF(INDEX(Positions!$B$6:$B$35,INT((ROW()-5)/2)+1)="","",IF(MOD(ROW()-5,2)=0,0,INDEX(Positions!$M$6:$M$35,INT((ROW()-5)/2)+1)))</f>
        <v/>
      </c>
      <c r="N47" s="23">
        <f>IF(INDEX(Positions!$B$6:$B$35,INT((ROW()-5)/2)+1)="","",IF(MOD(ROW()-5,2)=0,INDEX(Positions!$Z$6:$Z$35,INT((ROW()-5)/2)+1),INDEX(Positions!$AA$6:$AA$35,INT((ROW()-5)/2)+1)))</f>
        <v/>
      </c>
      <c r="O47" s="22">
        <f>IF(INDEX(Positions!$B$6:$B$35,INT((ROW()-5)/2)+1)="","",IF(MOD(ROW()-5,2)=0,INDEX(Positions!$V$6:$V$35,INT((ROW()-5)/2)+1),INDEX(Positions!$W$6:$W$35,INT((ROW()-5)/2)+1)))</f>
        <v/>
      </c>
    </row>
    <row r="48">
      <c r="A48" s="21">
        <f>IF(INDEX(Positions!$B$6:$B$35,INT((ROW()-5)/2)+1)="","",IF(MOD(ROW()-5,2)=0,INDEX(Positions!$A$6:$A$35,INT((ROW()-5)/2)+1),INDEX(Positions!$I$6:$I$35,INT((ROW()-5)/2)+1)))</f>
        <v/>
      </c>
      <c r="B48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8" s="22">
        <f>IF(INDEX(Positions!$B$6:$B$35,INT((ROW()-5)/2)+1)="","",INDEX(Positions!$C$6:$C$35,INT((ROW()-5)/2)+1))</f>
        <v/>
      </c>
      <c r="D48" s="22">
        <f>IF(INDEX(Positions!$B$6:$B$35,INT((ROW()-5)/2)+1)="","",IF(MOD(ROW()-5,2)=0,INDEX(Positions!$D$6:$D$35,INT((ROW()-5)/2)+1),IF(INDEX(Positions!$D$6:$D$35,INT((ROW()-5)/2)+1)="buy","sell","buy")))</f>
        <v/>
      </c>
      <c r="E48" s="22">
        <f>IF(INDEX(Positions!$B$6:$B$35,INT((ROW()-5)/2)+1)="","",IF(MOD(ROW()-5,2)=0,"in","out"))</f>
        <v/>
      </c>
      <c r="F48" s="23">
        <f>IF(INDEX(Positions!$B$6:$B$35,INT((ROW()-5)/2)+1)="","",INDEX(Positions!$E$6:$E$35,INT((ROW()-5)/2)+1))</f>
        <v/>
      </c>
      <c r="G48" s="23">
        <f>IF(INDEX(Positions!$B$6:$B$35,INT((ROW()-5)/2)+1)="","",IF(MOD(ROW()-5,2)=0,INDEX(Positions!$F$6:$F$35,INT((ROW()-5)/2)+1),INDEX(Positions!$J$6:$J$35,INT((ROW()-5)/2)+1)))</f>
        <v/>
      </c>
      <c r="H48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8" s="22">
        <f>0</f>
        <v/>
      </c>
      <c r="J48" s="23">
        <f>IF(INDEX(Positions!$B$6:$B$35,INT((ROW()-5)/2)+1)="","",IF(MOD(ROW()-5,2)=0,0,INDEX(Positions!$K$6:$K$35,INT((ROW()-5)/2)+1)))</f>
        <v/>
      </c>
      <c r="K48" s="23">
        <f>IF(INDEX(Positions!$B$6:$B$35,INT((ROW()-5)/2)+1)="","",IF(MOD(ROW()-5,2)=0,0,INDEX(Positions!$X$6:$X$35,INT((ROW()-5)/2)+1)))</f>
        <v/>
      </c>
      <c r="L48" s="23">
        <f>IF(INDEX(Positions!$B$6:$B$35,INT((ROW()-5)/2)+1)="","",IF(MOD(ROW()-5,2)=0,0,INDEX(Positions!$L$6:$L$35,INT((ROW()-5)/2)+1)))</f>
        <v/>
      </c>
      <c r="M48" s="23">
        <f>IF(INDEX(Positions!$B$6:$B$35,INT((ROW()-5)/2)+1)="","",IF(MOD(ROW()-5,2)=0,0,INDEX(Positions!$M$6:$M$35,INT((ROW()-5)/2)+1)))</f>
        <v/>
      </c>
      <c r="N48" s="23">
        <f>IF(INDEX(Positions!$B$6:$B$35,INT((ROW()-5)/2)+1)="","",IF(MOD(ROW()-5,2)=0,INDEX(Positions!$Z$6:$Z$35,INT((ROW()-5)/2)+1),INDEX(Positions!$AA$6:$AA$35,INT((ROW()-5)/2)+1)))</f>
        <v/>
      </c>
      <c r="O48" s="22">
        <f>IF(INDEX(Positions!$B$6:$B$35,INT((ROW()-5)/2)+1)="","",IF(MOD(ROW()-5,2)=0,INDEX(Positions!$V$6:$V$35,INT((ROW()-5)/2)+1),INDEX(Positions!$W$6:$W$35,INT((ROW()-5)/2)+1)))</f>
        <v/>
      </c>
    </row>
    <row r="49">
      <c r="A49" s="21">
        <f>IF(INDEX(Positions!$B$6:$B$35,INT((ROW()-5)/2)+1)="","",IF(MOD(ROW()-5,2)=0,INDEX(Positions!$A$6:$A$35,INT((ROW()-5)/2)+1),INDEX(Positions!$I$6:$I$35,INT((ROW()-5)/2)+1)))</f>
        <v/>
      </c>
      <c r="B49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49" s="22">
        <f>IF(INDEX(Positions!$B$6:$B$35,INT((ROW()-5)/2)+1)="","",INDEX(Positions!$C$6:$C$35,INT((ROW()-5)/2)+1))</f>
        <v/>
      </c>
      <c r="D49" s="22">
        <f>IF(INDEX(Positions!$B$6:$B$35,INT((ROW()-5)/2)+1)="","",IF(MOD(ROW()-5,2)=0,INDEX(Positions!$D$6:$D$35,INT((ROW()-5)/2)+1),IF(INDEX(Positions!$D$6:$D$35,INT((ROW()-5)/2)+1)="buy","sell","buy")))</f>
        <v/>
      </c>
      <c r="E49" s="22">
        <f>IF(INDEX(Positions!$B$6:$B$35,INT((ROW()-5)/2)+1)="","",IF(MOD(ROW()-5,2)=0,"in","out"))</f>
        <v/>
      </c>
      <c r="F49" s="23">
        <f>IF(INDEX(Positions!$B$6:$B$35,INT((ROW()-5)/2)+1)="","",INDEX(Positions!$E$6:$E$35,INT((ROW()-5)/2)+1))</f>
        <v/>
      </c>
      <c r="G49" s="23">
        <f>IF(INDEX(Positions!$B$6:$B$35,INT((ROW()-5)/2)+1)="","",IF(MOD(ROW()-5,2)=0,INDEX(Positions!$F$6:$F$35,INT((ROW()-5)/2)+1),INDEX(Positions!$J$6:$J$35,INT((ROW()-5)/2)+1)))</f>
        <v/>
      </c>
      <c r="H49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49" s="22">
        <f>0</f>
        <v/>
      </c>
      <c r="J49" s="23">
        <f>IF(INDEX(Positions!$B$6:$B$35,INT((ROW()-5)/2)+1)="","",IF(MOD(ROW()-5,2)=0,0,INDEX(Positions!$K$6:$K$35,INT((ROW()-5)/2)+1)))</f>
        <v/>
      </c>
      <c r="K49" s="23">
        <f>IF(INDEX(Positions!$B$6:$B$35,INT((ROW()-5)/2)+1)="","",IF(MOD(ROW()-5,2)=0,0,INDEX(Positions!$X$6:$X$35,INT((ROW()-5)/2)+1)))</f>
        <v/>
      </c>
      <c r="L49" s="23">
        <f>IF(INDEX(Positions!$B$6:$B$35,INT((ROW()-5)/2)+1)="","",IF(MOD(ROW()-5,2)=0,0,INDEX(Positions!$L$6:$L$35,INT((ROW()-5)/2)+1)))</f>
        <v/>
      </c>
      <c r="M49" s="23">
        <f>IF(INDEX(Positions!$B$6:$B$35,INT((ROW()-5)/2)+1)="","",IF(MOD(ROW()-5,2)=0,0,INDEX(Positions!$M$6:$M$35,INT((ROW()-5)/2)+1)))</f>
        <v/>
      </c>
      <c r="N49" s="23">
        <f>IF(INDEX(Positions!$B$6:$B$35,INT((ROW()-5)/2)+1)="","",IF(MOD(ROW()-5,2)=0,INDEX(Positions!$Z$6:$Z$35,INT((ROW()-5)/2)+1),INDEX(Positions!$AA$6:$AA$35,INT((ROW()-5)/2)+1)))</f>
        <v/>
      </c>
      <c r="O49" s="22">
        <f>IF(INDEX(Positions!$B$6:$B$35,INT((ROW()-5)/2)+1)="","",IF(MOD(ROW()-5,2)=0,INDEX(Positions!$V$6:$V$35,INT((ROW()-5)/2)+1),INDEX(Positions!$W$6:$W$35,INT((ROW()-5)/2)+1)))</f>
        <v/>
      </c>
    </row>
    <row r="50">
      <c r="A50" s="21">
        <f>IF(INDEX(Positions!$B$6:$B$35,INT((ROW()-5)/2)+1)="","",IF(MOD(ROW()-5,2)=0,INDEX(Positions!$A$6:$A$35,INT((ROW()-5)/2)+1),INDEX(Positions!$I$6:$I$35,INT((ROW()-5)/2)+1)))</f>
        <v/>
      </c>
      <c r="B50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0" s="22">
        <f>IF(INDEX(Positions!$B$6:$B$35,INT((ROW()-5)/2)+1)="","",INDEX(Positions!$C$6:$C$35,INT((ROW()-5)/2)+1))</f>
        <v/>
      </c>
      <c r="D50" s="22">
        <f>IF(INDEX(Positions!$B$6:$B$35,INT((ROW()-5)/2)+1)="","",IF(MOD(ROW()-5,2)=0,INDEX(Positions!$D$6:$D$35,INT((ROW()-5)/2)+1),IF(INDEX(Positions!$D$6:$D$35,INT((ROW()-5)/2)+1)="buy","sell","buy")))</f>
        <v/>
      </c>
      <c r="E50" s="22">
        <f>IF(INDEX(Positions!$B$6:$B$35,INT((ROW()-5)/2)+1)="","",IF(MOD(ROW()-5,2)=0,"in","out"))</f>
        <v/>
      </c>
      <c r="F50" s="23">
        <f>IF(INDEX(Positions!$B$6:$B$35,INT((ROW()-5)/2)+1)="","",INDEX(Positions!$E$6:$E$35,INT((ROW()-5)/2)+1))</f>
        <v/>
      </c>
      <c r="G50" s="23">
        <f>IF(INDEX(Positions!$B$6:$B$35,INT((ROW()-5)/2)+1)="","",IF(MOD(ROW()-5,2)=0,INDEX(Positions!$F$6:$F$35,INT((ROW()-5)/2)+1),INDEX(Positions!$J$6:$J$35,INT((ROW()-5)/2)+1)))</f>
        <v/>
      </c>
      <c r="H50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0" s="22">
        <f>0</f>
        <v/>
      </c>
      <c r="J50" s="23">
        <f>IF(INDEX(Positions!$B$6:$B$35,INT((ROW()-5)/2)+1)="","",IF(MOD(ROW()-5,2)=0,0,INDEX(Positions!$K$6:$K$35,INT((ROW()-5)/2)+1)))</f>
        <v/>
      </c>
      <c r="K50" s="23">
        <f>IF(INDEX(Positions!$B$6:$B$35,INT((ROW()-5)/2)+1)="","",IF(MOD(ROW()-5,2)=0,0,INDEX(Positions!$X$6:$X$35,INT((ROW()-5)/2)+1)))</f>
        <v/>
      </c>
      <c r="L50" s="23">
        <f>IF(INDEX(Positions!$B$6:$B$35,INT((ROW()-5)/2)+1)="","",IF(MOD(ROW()-5,2)=0,0,INDEX(Positions!$L$6:$L$35,INT((ROW()-5)/2)+1)))</f>
        <v/>
      </c>
      <c r="M50" s="23">
        <f>IF(INDEX(Positions!$B$6:$B$35,INT((ROW()-5)/2)+1)="","",IF(MOD(ROW()-5,2)=0,0,INDEX(Positions!$M$6:$M$35,INT((ROW()-5)/2)+1)))</f>
        <v/>
      </c>
      <c r="N50" s="23">
        <f>IF(INDEX(Positions!$B$6:$B$35,INT((ROW()-5)/2)+1)="","",IF(MOD(ROW()-5,2)=0,INDEX(Positions!$Z$6:$Z$35,INT((ROW()-5)/2)+1),INDEX(Positions!$AA$6:$AA$35,INT((ROW()-5)/2)+1)))</f>
        <v/>
      </c>
      <c r="O50" s="22">
        <f>IF(INDEX(Positions!$B$6:$B$35,INT((ROW()-5)/2)+1)="","",IF(MOD(ROW()-5,2)=0,INDEX(Positions!$V$6:$V$35,INT((ROW()-5)/2)+1),INDEX(Positions!$W$6:$W$35,INT((ROW()-5)/2)+1)))</f>
        <v/>
      </c>
    </row>
    <row r="51">
      <c r="A51" s="21">
        <f>IF(INDEX(Positions!$B$6:$B$35,INT((ROW()-5)/2)+1)="","",IF(MOD(ROW()-5,2)=0,INDEX(Positions!$A$6:$A$35,INT((ROW()-5)/2)+1),INDEX(Positions!$I$6:$I$35,INT((ROW()-5)/2)+1)))</f>
        <v/>
      </c>
      <c r="B51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1" s="22">
        <f>IF(INDEX(Positions!$B$6:$B$35,INT((ROW()-5)/2)+1)="","",INDEX(Positions!$C$6:$C$35,INT((ROW()-5)/2)+1))</f>
        <v/>
      </c>
      <c r="D51" s="22">
        <f>IF(INDEX(Positions!$B$6:$B$35,INT((ROW()-5)/2)+1)="","",IF(MOD(ROW()-5,2)=0,INDEX(Positions!$D$6:$D$35,INT((ROW()-5)/2)+1),IF(INDEX(Positions!$D$6:$D$35,INT((ROW()-5)/2)+1)="buy","sell","buy")))</f>
        <v/>
      </c>
      <c r="E51" s="22">
        <f>IF(INDEX(Positions!$B$6:$B$35,INT((ROW()-5)/2)+1)="","",IF(MOD(ROW()-5,2)=0,"in","out"))</f>
        <v/>
      </c>
      <c r="F51" s="23">
        <f>IF(INDEX(Positions!$B$6:$B$35,INT((ROW()-5)/2)+1)="","",INDEX(Positions!$E$6:$E$35,INT((ROW()-5)/2)+1))</f>
        <v/>
      </c>
      <c r="G51" s="23">
        <f>IF(INDEX(Positions!$B$6:$B$35,INT((ROW()-5)/2)+1)="","",IF(MOD(ROW()-5,2)=0,INDEX(Positions!$F$6:$F$35,INT((ROW()-5)/2)+1),INDEX(Positions!$J$6:$J$35,INT((ROW()-5)/2)+1)))</f>
        <v/>
      </c>
      <c r="H51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1" s="22">
        <f>0</f>
        <v/>
      </c>
      <c r="J51" s="23">
        <f>IF(INDEX(Positions!$B$6:$B$35,INT((ROW()-5)/2)+1)="","",IF(MOD(ROW()-5,2)=0,0,INDEX(Positions!$K$6:$K$35,INT((ROW()-5)/2)+1)))</f>
        <v/>
      </c>
      <c r="K51" s="23">
        <f>IF(INDEX(Positions!$B$6:$B$35,INT((ROW()-5)/2)+1)="","",IF(MOD(ROW()-5,2)=0,0,INDEX(Positions!$X$6:$X$35,INT((ROW()-5)/2)+1)))</f>
        <v/>
      </c>
      <c r="L51" s="23">
        <f>IF(INDEX(Positions!$B$6:$B$35,INT((ROW()-5)/2)+1)="","",IF(MOD(ROW()-5,2)=0,0,INDEX(Positions!$L$6:$L$35,INT((ROW()-5)/2)+1)))</f>
        <v/>
      </c>
      <c r="M51" s="23">
        <f>IF(INDEX(Positions!$B$6:$B$35,INT((ROW()-5)/2)+1)="","",IF(MOD(ROW()-5,2)=0,0,INDEX(Positions!$M$6:$M$35,INT((ROW()-5)/2)+1)))</f>
        <v/>
      </c>
      <c r="N51" s="23">
        <f>IF(INDEX(Positions!$B$6:$B$35,INT((ROW()-5)/2)+1)="","",IF(MOD(ROW()-5,2)=0,INDEX(Positions!$Z$6:$Z$35,INT((ROW()-5)/2)+1),INDEX(Positions!$AA$6:$AA$35,INT((ROW()-5)/2)+1)))</f>
        <v/>
      </c>
      <c r="O51" s="22">
        <f>IF(INDEX(Positions!$B$6:$B$35,INT((ROW()-5)/2)+1)="","",IF(MOD(ROW()-5,2)=0,INDEX(Positions!$V$6:$V$35,INT((ROW()-5)/2)+1),INDEX(Positions!$W$6:$W$35,INT((ROW()-5)/2)+1)))</f>
        <v/>
      </c>
    </row>
    <row r="52">
      <c r="A52" s="21">
        <f>IF(INDEX(Positions!$B$6:$B$35,INT((ROW()-5)/2)+1)="","",IF(MOD(ROW()-5,2)=0,INDEX(Positions!$A$6:$A$35,INT((ROW()-5)/2)+1),INDEX(Positions!$I$6:$I$35,INT((ROW()-5)/2)+1)))</f>
        <v/>
      </c>
      <c r="B52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2" s="22">
        <f>IF(INDEX(Positions!$B$6:$B$35,INT((ROW()-5)/2)+1)="","",INDEX(Positions!$C$6:$C$35,INT((ROW()-5)/2)+1))</f>
        <v/>
      </c>
      <c r="D52" s="22">
        <f>IF(INDEX(Positions!$B$6:$B$35,INT((ROW()-5)/2)+1)="","",IF(MOD(ROW()-5,2)=0,INDEX(Positions!$D$6:$D$35,INT((ROW()-5)/2)+1),IF(INDEX(Positions!$D$6:$D$35,INT((ROW()-5)/2)+1)="buy","sell","buy")))</f>
        <v/>
      </c>
      <c r="E52" s="22">
        <f>IF(INDEX(Positions!$B$6:$B$35,INT((ROW()-5)/2)+1)="","",IF(MOD(ROW()-5,2)=0,"in","out"))</f>
        <v/>
      </c>
      <c r="F52" s="23">
        <f>IF(INDEX(Positions!$B$6:$B$35,INT((ROW()-5)/2)+1)="","",INDEX(Positions!$E$6:$E$35,INT((ROW()-5)/2)+1))</f>
        <v/>
      </c>
      <c r="G52" s="23">
        <f>IF(INDEX(Positions!$B$6:$B$35,INT((ROW()-5)/2)+1)="","",IF(MOD(ROW()-5,2)=0,INDEX(Positions!$F$6:$F$35,INT((ROW()-5)/2)+1),INDEX(Positions!$J$6:$J$35,INT((ROW()-5)/2)+1)))</f>
        <v/>
      </c>
      <c r="H52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2" s="22">
        <f>0</f>
        <v/>
      </c>
      <c r="J52" s="23">
        <f>IF(INDEX(Positions!$B$6:$B$35,INT((ROW()-5)/2)+1)="","",IF(MOD(ROW()-5,2)=0,0,INDEX(Positions!$K$6:$K$35,INT((ROW()-5)/2)+1)))</f>
        <v/>
      </c>
      <c r="K52" s="23">
        <f>IF(INDEX(Positions!$B$6:$B$35,INT((ROW()-5)/2)+1)="","",IF(MOD(ROW()-5,2)=0,0,INDEX(Positions!$X$6:$X$35,INT((ROW()-5)/2)+1)))</f>
        <v/>
      </c>
      <c r="L52" s="23">
        <f>IF(INDEX(Positions!$B$6:$B$35,INT((ROW()-5)/2)+1)="","",IF(MOD(ROW()-5,2)=0,0,INDEX(Positions!$L$6:$L$35,INT((ROW()-5)/2)+1)))</f>
        <v/>
      </c>
      <c r="M52" s="23">
        <f>IF(INDEX(Positions!$B$6:$B$35,INT((ROW()-5)/2)+1)="","",IF(MOD(ROW()-5,2)=0,0,INDEX(Positions!$M$6:$M$35,INT((ROW()-5)/2)+1)))</f>
        <v/>
      </c>
      <c r="N52" s="23">
        <f>IF(INDEX(Positions!$B$6:$B$35,INT((ROW()-5)/2)+1)="","",IF(MOD(ROW()-5,2)=0,INDEX(Positions!$Z$6:$Z$35,INT((ROW()-5)/2)+1),INDEX(Positions!$AA$6:$AA$35,INT((ROW()-5)/2)+1)))</f>
        <v/>
      </c>
      <c r="O52" s="22">
        <f>IF(INDEX(Positions!$B$6:$B$35,INT((ROW()-5)/2)+1)="","",IF(MOD(ROW()-5,2)=0,INDEX(Positions!$V$6:$V$35,INT((ROW()-5)/2)+1),INDEX(Positions!$W$6:$W$35,INT((ROW()-5)/2)+1)))</f>
        <v/>
      </c>
    </row>
    <row r="53">
      <c r="A53" s="21">
        <f>IF(INDEX(Positions!$B$6:$B$35,INT((ROW()-5)/2)+1)="","",IF(MOD(ROW()-5,2)=0,INDEX(Positions!$A$6:$A$35,INT((ROW()-5)/2)+1),INDEX(Positions!$I$6:$I$35,INT((ROW()-5)/2)+1)))</f>
        <v/>
      </c>
      <c r="B53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3" s="22">
        <f>IF(INDEX(Positions!$B$6:$B$35,INT((ROW()-5)/2)+1)="","",INDEX(Positions!$C$6:$C$35,INT((ROW()-5)/2)+1))</f>
        <v/>
      </c>
      <c r="D53" s="22">
        <f>IF(INDEX(Positions!$B$6:$B$35,INT((ROW()-5)/2)+1)="","",IF(MOD(ROW()-5,2)=0,INDEX(Positions!$D$6:$D$35,INT((ROW()-5)/2)+1),IF(INDEX(Positions!$D$6:$D$35,INT((ROW()-5)/2)+1)="buy","sell","buy")))</f>
        <v/>
      </c>
      <c r="E53" s="22">
        <f>IF(INDEX(Positions!$B$6:$B$35,INT((ROW()-5)/2)+1)="","",IF(MOD(ROW()-5,2)=0,"in","out"))</f>
        <v/>
      </c>
      <c r="F53" s="23">
        <f>IF(INDEX(Positions!$B$6:$B$35,INT((ROW()-5)/2)+1)="","",INDEX(Positions!$E$6:$E$35,INT((ROW()-5)/2)+1))</f>
        <v/>
      </c>
      <c r="G53" s="23">
        <f>IF(INDEX(Positions!$B$6:$B$35,INT((ROW()-5)/2)+1)="","",IF(MOD(ROW()-5,2)=0,INDEX(Positions!$F$6:$F$35,INT((ROW()-5)/2)+1),INDEX(Positions!$J$6:$J$35,INT((ROW()-5)/2)+1)))</f>
        <v/>
      </c>
      <c r="H53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3" s="22">
        <f>0</f>
        <v/>
      </c>
      <c r="J53" s="23">
        <f>IF(INDEX(Positions!$B$6:$B$35,INT((ROW()-5)/2)+1)="","",IF(MOD(ROW()-5,2)=0,0,INDEX(Positions!$K$6:$K$35,INT((ROW()-5)/2)+1)))</f>
        <v/>
      </c>
      <c r="K53" s="23">
        <f>IF(INDEX(Positions!$B$6:$B$35,INT((ROW()-5)/2)+1)="","",IF(MOD(ROW()-5,2)=0,0,INDEX(Positions!$X$6:$X$35,INT((ROW()-5)/2)+1)))</f>
        <v/>
      </c>
      <c r="L53" s="23">
        <f>IF(INDEX(Positions!$B$6:$B$35,INT((ROW()-5)/2)+1)="","",IF(MOD(ROW()-5,2)=0,0,INDEX(Positions!$L$6:$L$35,INT((ROW()-5)/2)+1)))</f>
        <v/>
      </c>
      <c r="M53" s="23">
        <f>IF(INDEX(Positions!$B$6:$B$35,INT((ROW()-5)/2)+1)="","",IF(MOD(ROW()-5,2)=0,0,INDEX(Positions!$M$6:$M$35,INT((ROW()-5)/2)+1)))</f>
        <v/>
      </c>
      <c r="N53" s="23">
        <f>IF(INDEX(Positions!$B$6:$B$35,INT((ROW()-5)/2)+1)="","",IF(MOD(ROW()-5,2)=0,INDEX(Positions!$Z$6:$Z$35,INT((ROW()-5)/2)+1),INDEX(Positions!$AA$6:$AA$35,INT((ROW()-5)/2)+1)))</f>
        <v/>
      </c>
      <c r="O53" s="22">
        <f>IF(INDEX(Positions!$B$6:$B$35,INT((ROW()-5)/2)+1)="","",IF(MOD(ROW()-5,2)=0,INDEX(Positions!$V$6:$V$35,INT((ROW()-5)/2)+1),INDEX(Positions!$W$6:$W$35,INT((ROW()-5)/2)+1)))</f>
        <v/>
      </c>
    </row>
    <row r="54">
      <c r="A54" s="21">
        <f>IF(INDEX(Positions!$B$6:$B$35,INT((ROW()-5)/2)+1)="","",IF(MOD(ROW()-5,2)=0,INDEX(Positions!$A$6:$A$35,INT((ROW()-5)/2)+1),INDEX(Positions!$I$6:$I$35,INT((ROW()-5)/2)+1)))</f>
        <v/>
      </c>
      <c r="B54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4" s="22">
        <f>IF(INDEX(Positions!$B$6:$B$35,INT((ROW()-5)/2)+1)="","",INDEX(Positions!$C$6:$C$35,INT((ROW()-5)/2)+1))</f>
        <v/>
      </c>
      <c r="D54" s="22">
        <f>IF(INDEX(Positions!$B$6:$B$35,INT((ROW()-5)/2)+1)="","",IF(MOD(ROW()-5,2)=0,INDEX(Positions!$D$6:$D$35,INT((ROW()-5)/2)+1),IF(INDEX(Positions!$D$6:$D$35,INT((ROW()-5)/2)+1)="buy","sell","buy")))</f>
        <v/>
      </c>
      <c r="E54" s="22">
        <f>IF(INDEX(Positions!$B$6:$B$35,INT((ROW()-5)/2)+1)="","",IF(MOD(ROW()-5,2)=0,"in","out"))</f>
        <v/>
      </c>
      <c r="F54" s="23">
        <f>IF(INDEX(Positions!$B$6:$B$35,INT((ROW()-5)/2)+1)="","",INDEX(Positions!$E$6:$E$35,INT((ROW()-5)/2)+1))</f>
        <v/>
      </c>
      <c r="G54" s="23">
        <f>IF(INDEX(Positions!$B$6:$B$35,INT((ROW()-5)/2)+1)="","",IF(MOD(ROW()-5,2)=0,INDEX(Positions!$F$6:$F$35,INT((ROW()-5)/2)+1),INDEX(Positions!$J$6:$J$35,INT((ROW()-5)/2)+1)))</f>
        <v/>
      </c>
      <c r="H54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4" s="22">
        <f>0</f>
        <v/>
      </c>
      <c r="J54" s="23">
        <f>IF(INDEX(Positions!$B$6:$B$35,INT((ROW()-5)/2)+1)="","",IF(MOD(ROW()-5,2)=0,0,INDEX(Positions!$K$6:$K$35,INT((ROW()-5)/2)+1)))</f>
        <v/>
      </c>
      <c r="K54" s="23">
        <f>IF(INDEX(Positions!$B$6:$B$35,INT((ROW()-5)/2)+1)="","",IF(MOD(ROW()-5,2)=0,0,INDEX(Positions!$X$6:$X$35,INT((ROW()-5)/2)+1)))</f>
        <v/>
      </c>
      <c r="L54" s="23">
        <f>IF(INDEX(Positions!$B$6:$B$35,INT((ROW()-5)/2)+1)="","",IF(MOD(ROW()-5,2)=0,0,INDEX(Positions!$L$6:$L$35,INT((ROW()-5)/2)+1)))</f>
        <v/>
      </c>
      <c r="M54" s="23">
        <f>IF(INDEX(Positions!$B$6:$B$35,INT((ROW()-5)/2)+1)="","",IF(MOD(ROW()-5,2)=0,0,INDEX(Positions!$M$6:$M$35,INT((ROW()-5)/2)+1)))</f>
        <v/>
      </c>
      <c r="N54" s="23">
        <f>IF(INDEX(Positions!$B$6:$B$35,INT((ROW()-5)/2)+1)="","",IF(MOD(ROW()-5,2)=0,INDEX(Positions!$Z$6:$Z$35,INT((ROW()-5)/2)+1),INDEX(Positions!$AA$6:$AA$35,INT((ROW()-5)/2)+1)))</f>
        <v/>
      </c>
      <c r="O54" s="22">
        <f>IF(INDEX(Positions!$B$6:$B$35,INT((ROW()-5)/2)+1)="","",IF(MOD(ROW()-5,2)=0,INDEX(Positions!$V$6:$V$35,INT((ROW()-5)/2)+1),INDEX(Positions!$W$6:$W$35,INT((ROW()-5)/2)+1)))</f>
        <v/>
      </c>
    </row>
    <row r="55">
      <c r="A55" s="21">
        <f>IF(INDEX(Positions!$B$6:$B$35,INT((ROW()-5)/2)+1)="","",IF(MOD(ROW()-5,2)=0,INDEX(Positions!$A$6:$A$35,INT((ROW()-5)/2)+1),INDEX(Positions!$I$6:$I$35,INT((ROW()-5)/2)+1)))</f>
        <v/>
      </c>
      <c r="B55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5" s="22">
        <f>IF(INDEX(Positions!$B$6:$B$35,INT((ROW()-5)/2)+1)="","",INDEX(Positions!$C$6:$C$35,INT((ROW()-5)/2)+1))</f>
        <v/>
      </c>
      <c r="D55" s="22">
        <f>IF(INDEX(Positions!$B$6:$B$35,INT((ROW()-5)/2)+1)="","",IF(MOD(ROW()-5,2)=0,INDEX(Positions!$D$6:$D$35,INT((ROW()-5)/2)+1),IF(INDEX(Positions!$D$6:$D$35,INT((ROW()-5)/2)+1)="buy","sell","buy")))</f>
        <v/>
      </c>
      <c r="E55" s="22">
        <f>IF(INDEX(Positions!$B$6:$B$35,INT((ROW()-5)/2)+1)="","",IF(MOD(ROW()-5,2)=0,"in","out"))</f>
        <v/>
      </c>
      <c r="F55" s="23">
        <f>IF(INDEX(Positions!$B$6:$B$35,INT((ROW()-5)/2)+1)="","",INDEX(Positions!$E$6:$E$35,INT((ROW()-5)/2)+1))</f>
        <v/>
      </c>
      <c r="G55" s="23">
        <f>IF(INDEX(Positions!$B$6:$B$35,INT((ROW()-5)/2)+1)="","",IF(MOD(ROW()-5,2)=0,INDEX(Positions!$F$6:$F$35,INT((ROW()-5)/2)+1),INDEX(Positions!$J$6:$J$35,INT((ROW()-5)/2)+1)))</f>
        <v/>
      </c>
      <c r="H55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5" s="22">
        <f>0</f>
        <v/>
      </c>
      <c r="J55" s="23">
        <f>IF(INDEX(Positions!$B$6:$B$35,INT((ROW()-5)/2)+1)="","",IF(MOD(ROW()-5,2)=0,0,INDEX(Positions!$K$6:$K$35,INT((ROW()-5)/2)+1)))</f>
        <v/>
      </c>
      <c r="K55" s="23">
        <f>IF(INDEX(Positions!$B$6:$B$35,INT((ROW()-5)/2)+1)="","",IF(MOD(ROW()-5,2)=0,0,INDEX(Positions!$X$6:$X$35,INT((ROW()-5)/2)+1)))</f>
        <v/>
      </c>
      <c r="L55" s="23">
        <f>IF(INDEX(Positions!$B$6:$B$35,INT((ROW()-5)/2)+1)="","",IF(MOD(ROW()-5,2)=0,0,INDEX(Positions!$L$6:$L$35,INT((ROW()-5)/2)+1)))</f>
        <v/>
      </c>
      <c r="M55" s="23">
        <f>IF(INDEX(Positions!$B$6:$B$35,INT((ROW()-5)/2)+1)="","",IF(MOD(ROW()-5,2)=0,0,INDEX(Positions!$M$6:$M$35,INT((ROW()-5)/2)+1)))</f>
        <v/>
      </c>
      <c r="N55" s="23">
        <f>IF(INDEX(Positions!$B$6:$B$35,INT((ROW()-5)/2)+1)="","",IF(MOD(ROW()-5,2)=0,INDEX(Positions!$Z$6:$Z$35,INT((ROW()-5)/2)+1),INDEX(Positions!$AA$6:$AA$35,INT((ROW()-5)/2)+1)))</f>
        <v/>
      </c>
      <c r="O55" s="22">
        <f>IF(INDEX(Positions!$B$6:$B$35,INT((ROW()-5)/2)+1)="","",IF(MOD(ROW()-5,2)=0,INDEX(Positions!$V$6:$V$35,INT((ROW()-5)/2)+1),INDEX(Positions!$W$6:$W$35,INT((ROW()-5)/2)+1)))</f>
        <v/>
      </c>
    </row>
    <row r="56">
      <c r="A56" s="21">
        <f>IF(INDEX(Positions!$B$6:$B$35,INT((ROW()-5)/2)+1)="","",IF(MOD(ROW()-5,2)=0,INDEX(Positions!$A$6:$A$35,INT((ROW()-5)/2)+1),INDEX(Positions!$I$6:$I$35,INT((ROW()-5)/2)+1)))</f>
        <v/>
      </c>
      <c r="B56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6" s="22">
        <f>IF(INDEX(Positions!$B$6:$B$35,INT((ROW()-5)/2)+1)="","",INDEX(Positions!$C$6:$C$35,INT((ROW()-5)/2)+1))</f>
        <v/>
      </c>
      <c r="D56" s="22">
        <f>IF(INDEX(Positions!$B$6:$B$35,INT((ROW()-5)/2)+1)="","",IF(MOD(ROW()-5,2)=0,INDEX(Positions!$D$6:$D$35,INT((ROW()-5)/2)+1),IF(INDEX(Positions!$D$6:$D$35,INT((ROW()-5)/2)+1)="buy","sell","buy")))</f>
        <v/>
      </c>
      <c r="E56" s="22">
        <f>IF(INDEX(Positions!$B$6:$B$35,INT((ROW()-5)/2)+1)="","",IF(MOD(ROW()-5,2)=0,"in","out"))</f>
        <v/>
      </c>
      <c r="F56" s="23">
        <f>IF(INDEX(Positions!$B$6:$B$35,INT((ROW()-5)/2)+1)="","",INDEX(Positions!$E$6:$E$35,INT((ROW()-5)/2)+1))</f>
        <v/>
      </c>
      <c r="G56" s="23">
        <f>IF(INDEX(Positions!$B$6:$B$35,INT((ROW()-5)/2)+1)="","",IF(MOD(ROW()-5,2)=0,INDEX(Positions!$F$6:$F$35,INT((ROW()-5)/2)+1),INDEX(Positions!$J$6:$J$35,INT((ROW()-5)/2)+1)))</f>
        <v/>
      </c>
      <c r="H56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6" s="22">
        <f>0</f>
        <v/>
      </c>
      <c r="J56" s="23">
        <f>IF(INDEX(Positions!$B$6:$B$35,INT((ROW()-5)/2)+1)="","",IF(MOD(ROW()-5,2)=0,0,INDEX(Positions!$K$6:$K$35,INT((ROW()-5)/2)+1)))</f>
        <v/>
      </c>
      <c r="K56" s="23">
        <f>IF(INDEX(Positions!$B$6:$B$35,INT((ROW()-5)/2)+1)="","",IF(MOD(ROW()-5,2)=0,0,INDEX(Positions!$X$6:$X$35,INT((ROW()-5)/2)+1)))</f>
        <v/>
      </c>
      <c r="L56" s="23">
        <f>IF(INDEX(Positions!$B$6:$B$35,INT((ROW()-5)/2)+1)="","",IF(MOD(ROW()-5,2)=0,0,INDEX(Positions!$L$6:$L$35,INT((ROW()-5)/2)+1)))</f>
        <v/>
      </c>
      <c r="M56" s="23">
        <f>IF(INDEX(Positions!$B$6:$B$35,INT((ROW()-5)/2)+1)="","",IF(MOD(ROW()-5,2)=0,0,INDEX(Positions!$M$6:$M$35,INT((ROW()-5)/2)+1)))</f>
        <v/>
      </c>
      <c r="N56" s="23">
        <f>IF(INDEX(Positions!$B$6:$B$35,INT((ROW()-5)/2)+1)="","",IF(MOD(ROW()-5,2)=0,INDEX(Positions!$Z$6:$Z$35,INT((ROW()-5)/2)+1),INDEX(Positions!$AA$6:$AA$35,INT((ROW()-5)/2)+1)))</f>
        <v/>
      </c>
      <c r="O56" s="22">
        <f>IF(INDEX(Positions!$B$6:$B$35,INT((ROW()-5)/2)+1)="","",IF(MOD(ROW()-5,2)=0,INDEX(Positions!$V$6:$V$35,INT((ROW()-5)/2)+1),INDEX(Positions!$W$6:$W$35,INT((ROW()-5)/2)+1)))</f>
        <v/>
      </c>
    </row>
    <row r="57">
      <c r="A57" s="21">
        <f>IF(INDEX(Positions!$B$6:$B$35,INT((ROW()-5)/2)+1)="","",IF(MOD(ROW()-5,2)=0,INDEX(Positions!$A$6:$A$35,INT((ROW()-5)/2)+1),INDEX(Positions!$I$6:$I$35,INT((ROW()-5)/2)+1)))</f>
        <v/>
      </c>
      <c r="B57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7" s="22">
        <f>IF(INDEX(Positions!$B$6:$B$35,INT((ROW()-5)/2)+1)="","",INDEX(Positions!$C$6:$C$35,INT((ROW()-5)/2)+1))</f>
        <v/>
      </c>
      <c r="D57" s="22">
        <f>IF(INDEX(Positions!$B$6:$B$35,INT((ROW()-5)/2)+1)="","",IF(MOD(ROW()-5,2)=0,INDEX(Positions!$D$6:$D$35,INT((ROW()-5)/2)+1),IF(INDEX(Positions!$D$6:$D$35,INT((ROW()-5)/2)+1)="buy","sell","buy")))</f>
        <v/>
      </c>
      <c r="E57" s="22">
        <f>IF(INDEX(Positions!$B$6:$B$35,INT((ROW()-5)/2)+1)="","",IF(MOD(ROW()-5,2)=0,"in","out"))</f>
        <v/>
      </c>
      <c r="F57" s="23">
        <f>IF(INDEX(Positions!$B$6:$B$35,INT((ROW()-5)/2)+1)="","",INDEX(Positions!$E$6:$E$35,INT((ROW()-5)/2)+1))</f>
        <v/>
      </c>
      <c r="G57" s="23">
        <f>IF(INDEX(Positions!$B$6:$B$35,INT((ROW()-5)/2)+1)="","",IF(MOD(ROW()-5,2)=0,INDEX(Positions!$F$6:$F$35,INT((ROW()-5)/2)+1),INDEX(Positions!$J$6:$J$35,INT((ROW()-5)/2)+1)))</f>
        <v/>
      </c>
      <c r="H57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7" s="22">
        <f>0</f>
        <v/>
      </c>
      <c r="J57" s="23">
        <f>IF(INDEX(Positions!$B$6:$B$35,INT((ROW()-5)/2)+1)="","",IF(MOD(ROW()-5,2)=0,0,INDEX(Positions!$K$6:$K$35,INT((ROW()-5)/2)+1)))</f>
        <v/>
      </c>
      <c r="K57" s="23">
        <f>IF(INDEX(Positions!$B$6:$B$35,INT((ROW()-5)/2)+1)="","",IF(MOD(ROW()-5,2)=0,0,INDEX(Positions!$X$6:$X$35,INT((ROW()-5)/2)+1)))</f>
        <v/>
      </c>
      <c r="L57" s="23">
        <f>IF(INDEX(Positions!$B$6:$B$35,INT((ROW()-5)/2)+1)="","",IF(MOD(ROW()-5,2)=0,0,INDEX(Positions!$L$6:$L$35,INT((ROW()-5)/2)+1)))</f>
        <v/>
      </c>
      <c r="M57" s="23">
        <f>IF(INDEX(Positions!$B$6:$B$35,INT((ROW()-5)/2)+1)="","",IF(MOD(ROW()-5,2)=0,0,INDEX(Positions!$M$6:$M$35,INT((ROW()-5)/2)+1)))</f>
        <v/>
      </c>
      <c r="N57" s="23">
        <f>IF(INDEX(Positions!$B$6:$B$35,INT((ROW()-5)/2)+1)="","",IF(MOD(ROW()-5,2)=0,INDEX(Positions!$Z$6:$Z$35,INT((ROW()-5)/2)+1),INDEX(Positions!$AA$6:$AA$35,INT((ROW()-5)/2)+1)))</f>
        <v/>
      </c>
      <c r="O57" s="22">
        <f>IF(INDEX(Positions!$B$6:$B$35,INT((ROW()-5)/2)+1)="","",IF(MOD(ROW()-5,2)=0,INDEX(Positions!$V$6:$V$35,INT((ROW()-5)/2)+1),INDEX(Positions!$W$6:$W$35,INT((ROW()-5)/2)+1)))</f>
        <v/>
      </c>
    </row>
    <row r="58">
      <c r="A58" s="21">
        <f>IF(INDEX(Positions!$B$6:$B$35,INT((ROW()-5)/2)+1)="","",IF(MOD(ROW()-5,2)=0,INDEX(Positions!$A$6:$A$35,INT((ROW()-5)/2)+1),INDEX(Positions!$I$6:$I$35,INT((ROW()-5)/2)+1)))</f>
        <v/>
      </c>
      <c r="B58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8" s="22">
        <f>IF(INDEX(Positions!$B$6:$B$35,INT((ROW()-5)/2)+1)="","",INDEX(Positions!$C$6:$C$35,INT((ROW()-5)/2)+1))</f>
        <v/>
      </c>
      <c r="D58" s="22">
        <f>IF(INDEX(Positions!$B$6:$B$35,INT((ROW()-5)/2)+1)="","",IF(MOD(ROW()-5,2)=0,INDEX(Positions!$D$6:$D$35,INT((ROW()-5)/2)+1),IF(INDEX(Positions!$D$6:$D$35,INT((ROW()-5)/2)+1)="buy","sell","buy")))</f>
        <v/>
      </c>
      <c r="E58" s="22">
        <f>IF(INDEX(Positions!$B$6:$B$35,INT((ROW()-5)/2)+1)="","",IF(MOD(ROW()-5,2)=0,"in","out"))</f>
        <v/>
      </c>
      <c r="F58" s="23">
        <f>IF(INDEX(Positions!$B$6:$B$35,INT((ROW()-5)/2)+1)="","",INDEX(Positions!$E$6:$E$35,INT((ROW()-5)/2)+1))</f>
        <v/>
      </c>
      <c r="G58" s="23">
        <f>IF(INDEX(Positions!$B$6:$B$35,INT((ROW()-5)/2)+1)="","",IF(MOD(ROW()-5,2)=0,INDEX(Positions!$F$6:$F$35,INT((ROW()-5)/2)+1),INDEX(Positions!$J$6:$J$35,INT((ROW()-5)/2)+1)))</f>
        <v/>
      </c>
      <c r="H58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8" s="22">
        <f>0</f>
        <v/>
      </c>
      <c r="J58" s="23">
        <f>IF(INDEX(Positions!$B$6:$B$35,INT((ROW()-5)/2)+1)="","",IF(MOD(ROW()-5,2)=0,0,INDEX(Positions!$K$6:$K$35,INT((ROW()-5)/2)+1)))</f>
        <v/>
      </c>
      <c r="K58" s="23">
        <f>IF(INDEX(Positions!$B$6:$B$35,INT((ROW()-5)/2)+1)="","",IF(MOD(ROW()-5,2)=0,0,INDEX(Positions!$X$6:$X$35,INT((ROW()-5)/2)+1)))</f>
        <v/>
      </c>
      <c r="L58" s="23">
        <f>IF(INDEX(Positions!$B$6:$B$35,INT((ROW()-5)/2)+1)="","",IF(MOD(ROW()-5,2)=0,0,INDEX(Positions!$L$6:$L$35,INT((ROW()-5)/2)+1)))</f>
        <v/>
      </c>
      <c r="M58" s="23">
        <f>IF(INDEX(Positions!$B$6:$B$35,INT((ROW()-5)/2)+1)="","",IF(MOD(ROW()-5,2)=0,0,INDEX(Positions!$M$6:$M$35,INT((ROW()-5)/2)+1)))</f>
        <v/>
      </c>
      <c r="N58" s="23">
        <f>IF(INDEX(Positions!$B$6:$B$35,INT((ROW()-5)/2)+1)="","",IF(MOD(ROW()-5,2)=0,INDEX(Positions!$Z$6:$Z$35,INT((ROW()-5)/2)+1),INDEX(Positions!$AA$6:$AA$35,INT((ROW()-5)/2)+1)))</f>
        <v/>
      </c>
      <c r="O58" s="22">
        <f>IF(INDEX(Positions!$B$6:$B$35,INT((ROW()-5)/2)+1)="","",IF(MOD(ROW()-5,2)=0,INDEX(Positions!$V$6:$V$35,INT((ROW()-5)/2)+1),INDEX(Positions!$W$6:$W$35,INT((ROW()-5)/2)+1)))</f>
        <v/>
      </c>
    </row>
    <row r="59">
      <c r="A59" s="21">
        <f>IF(INDEX(Positions!$B$6:$B$35,INT((ROW()-5)/2)+1)="","",IF(MOD(ROW()-5,2)=0,INDEX(Positions!$A$6:$A$35,INT((ROW()-5)/2)+1),INDEX(Positions!$I$6:$I$35,INT((ROW()-5)/2)+1)))</f>
        <v/>
      </c>
      <c r="B59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59" s="22">
        <f>IF(INDEX(Positions!$B$6:$B$35,INT((ROW()-5)/2)+1)="","",INDEX(Positions!$C$6:$C$35,INT((ROW()-5)/2)+1))</f>
        <v/>
      </c>
      <c r="D59" s="22">
        <f>IF(INDEX(Positions!$B$6:$B$35,INT((ROW()-5)/2)+1)="","",IF(MOD(ROW()-5,2)=0,INDEX(Positions!$D$6:$D$35,INT((ROW()-5)/2)+1),IF(INDEX(Positions!$D$6:$D$35,INT((ROW()-5)/2)+1)="buy","sell","buy")))</f>
        <v/>
      </c>
      <c r="E59" s="22">
        <f>IF(INDEX(Positions!$B$6:$B$35,INT((ROW()-5)/2)+1)="","",IF(MOD(ROW()-5,2)=0,"in","out"))</f>
        <v/>
      </c>
      <c r="F59" s="23">
        <f>IF(INDEX(Positions!$B$6:$B$35,INT((ROW()-5)/2)+1)="","",INDEX(Positions!$E$6:$E$35,INT((ROW()-5)/2)+1))</f>
        <v/>
      </c>
      <c r="G59" s="23">
        <f>IF(INDEX(Positions!$B$6:$B$35,INT((ROW()-5)/2)+1)="","",IF(MOD(ROW()-5,2)=0,INDEX(Positions!$F$6:$F$35,INT((ROW()-5)/2)+1),INDEX(Positions!$J$6:$J$35,INT((ROW()-5)/2)+1)))</f>
        <v/>
      </c>
      <c r="H59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59" s="22">
        <f>0</f>
        <v/>
      </c>
      <c r="J59" s="23">
        <f>IF(INDEX(Positions!$B$6:$B$35,INT((ROW()-5)/2)+1)="","",IF(MOD(ROW()-5,2)=0,0,INDEX(Positions!$K$6:$K$35,INT((ROW()-5)/2)+1)))</f>
        <v/>
      </c>
      <c r="K59" s="23">
        <f>IF(INDEX(Positions!$B$6:$B$35,INT((ROW()-5)/2)+1)="","",IF(MOD(ROW()-5,2)=0,0,INDEX(Positions!$X$6:$X$35,INT((ROW()-5)/2)+1)))</f>
        <v/>
      </c>
      <c r="L59" s="23">
        <f>IF(INDEX(Positions!$B$6:$B$35,INT((ROW()-5)/2)+1)="","",IF(MOD(ROW()-5,2)=0,0,INDEX(Positions!$L$6:$L$35,INT((ROW()-5)/2)+1)))</f>
        <v/>
      </c>
      <c r="M59" s="23">
        <f>IF(INDEX(Positions!$B$6:$B$35,INT((ROW()-5)/2)+1)="","",IF(MOD(ROW()-5,2)=0,0,INDEX(Positions!$M$6:$M$35,INT((ROW()-5)/2)+1)))</f>
        <v/>
      </c>
      <c r="N59" s="23">
        <f>IF(INDEX(Positions!$B$6:$B$35,INT((ROW()-5)/2)+1)="","",IF(MOD(ROW()-5,2)=0,INDEX(Positions!$Z$6:$Z$35,INT((ROW()-5)/2)+1),INDEX(Positions!$AA$6:$AA$35,INT((ROW()-5)/2)+1)))</f>
        <v/>
      </c>
      <c r="O59" s="22">
        <f>IF(INDEX(Positions!$B$6:$B$35,INT((ROW()-5)/2)+1)="","",IF(MOD(ROW()-5,2)=0,INDEX(Positions!$V$6:$V$35,INT((ROW()-5)/2)+1),INDEX(Positions!$W$6:$W$35,INT((ROW()-5)/2)+1)))</f>
        <v/>
      </c>
    </row>
    <row r="60">
      <c r="A60" s="21">
        <f>IF(INDEX(Positions!$B$6:$B$35,INT((ROW()-5)/2)+1)="","",IF(MOD(ROW()-5,2)=0,INDEX(Positions!$A$6:$A$35,INT((ROW()-5)/2)+1),INDEX(Positions!$I$6:$I$35,INT((ROW()-5)/2)+1)))</f>
        <v/>
      </c>
      <c r="B60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60" s="22">
        <f>IF(INDEX(Positions!$B$6:$B$35,INT((ROW()-5)/2)+1)="","",INDEX(Positions!$C$6:$C$35,INT((ROW()-5)/2)+1))</f>
        <v/>
      </c>
      <c r="D60" s="22">
        <f>IF(INDEX(Positions!$B$6:$B$35,INT((ROW()-5)/2)+1)="","",IF(MOD(ROW()-5,2)=0,INDEX(Positions!$D$6:$D$35,INT((ROW()-5)/2)+1),IF(INDEX(Positions!$D$6:$D$35,INT((ROW()-5)/2)+1)="buy","sell","buy")))</f>
        <v/>
      </c>
      <c r="E60" s="22">
        <f>IF(INDEX(Positions!$B$6:$B$35,INT((ROW()-5)/2)+1)="","",IF(MOD(ROW()-5,2)=0,"in","out"))</f>
        <v/>
      </c>
      <c r="F60" s="23">
        <f>IF(INDEX(Positions!$B$6:$B$35,INT((ROW()-5)/2)+1)="","",INDEX(Positions!$E$6:$E$35,INT((ROW()-5)/2)+1))</f>
        <v/>
      </c>
      <c r="G60" s="23">
        <f>IF(INDEX(Positions!$B$6:$B$35,INT((ROW()-5)/2)+1)="","",IF(MOD(ROW()-5,2)=0,INDEX(Positions!$F$6:$F$35,INT((ROW()-5)/2)+1),INDEX(Positions!$J$6:$J$35,INT((ROW()-5)/2)+1)))</f>
        <v/>
      </c>
      <c r="H60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60" s="22">
        <f>0</f>
        <v/>
      </c>
      <c r="J60" s="23">
        <f>IF(INDEX(Positions!$B$6:$B$35,INT((ROW()-5)/2)+1)="","",IF(MOD(ROW()-5,2)=0,0,INDEX(Positions!$K$6:$K$35,INT((ROW()-5)/2)+1)))</f>
        <v/>
      </c>
      <c r="K60" s="23">
        <f>IF(INDEX(Positions!$B$6:$B$35,INT((ROW()-5)/2)+1)="","",IF(MOD(ROW()-5,2)=0,0,INDEX(Positions!$X$6:$X$35,INT((ROW()-5)/2)+1)))</f>
        <v/>
      </c>
      <c r="L60" s="23">
        <f>IF(INDEX(Positions!$B$6:$B$35,INT((ROW()-5)/2)+1)="","",IF(MOD(ROW()-5,2)=0,0,INDEX(Positions!$L$6:$L$35,INT((ROW()-5)/2)+1)))</f>
        <v/>
      </c>
      <c r="M60" s="23">
        <f>IF(INDEX(Positions!$B$6:$B$35,INT((ROW()-5)/2)+1)="","",IF(MOD(ROW()-5,2)=0,0,INDEX(Positions!$M$6:$M$35,INT((ROW()-5)/2)+1)))</f>
        <v/>
      </c>
      <c r="N60" s="23">
        <f>IF(INDEX(Positions!$B$6:$B$35,INT((ROW()-5)/2)+1)="","",IF(MOD(ROW()-5,2)=0,INDEX(Positions!$Z$6:$Z$35,INT((ROW()-5)/2)+1),INDEX(Positions!$AA$6:$AA$35,INT((ROW()-5)/2)+1)))</f>
        <v/>
      </c>
      <c r="O60" s="22">
        <f>IF(INDEX(Positions!$B$6:$B$35,INT((ROW()-5)/2)+1)="","",IF(MOD(ROW()-5,2)=0,INDEX(Positions!$V$6:$V$35,INT((ROW()-5)/2)+1),INDEX(Positions!$W$6:$W$35,INT((ROW()-5)/2)+1)))</f>
        <v/>
      </c>
    </row>
    <row r="61">
      <c r="A61" s="21">
        <f>IF(INDEX(Positions!$B$6:$B$35,INT((ROW()-5)/2)+1)="","",IF(MOD(ROW()-5,2)=0,INDEX(Positions!$A$6:$A$35,INT((ROW()-5)/2)+1),INDEX(Positions!$I$6:$I$35,INT((ROW()-5)/2)+1)))</f>
        <v/>
      </c>
      <c r="B61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61" s="22">
        <f>IF(INDEX(Positions!$B$6:$B$35,INT((ROW()-5)/2)+1)="","",INDEX(Positions!$C$6:$C$35,INT((ROW()-5)/2)+1))</f>
        <v/>
      </c>
      <c r="D61" s="22">
        <f>IF(INDEX(Positions!$B$6:$B$35,INT((ROW()-5)/2)+1)="","",IF(MOD(ROW()-5,2)=0,INDEX(Positions!$D$6:$D$35,INT((ROW()-5)/2)+1),IF(INDEX(Positions!$D$6:$D$35,INT((ROW()-5)/2)+1)="buy","sell","buy")))</f>
        <v/>
      </c>
      <c r="E61" s="22">
        <f>IF(INDEX(Positions!$B$6:$B$35,INT((ROW()-5)/2)+1)="","",IF(MOD(ROW()-5,2)=0,"in","out"))</f>
        <v/>
      </c>
      <c r="F61" s="23">
        <f>IF(INDEX(Positions!$B$6:$B$35,INT((ROW()-5)/2)+1)="","",INDEX(Positions!$E$6:$E$35,INT((ROW()-5)/2)+1))</f>
        <v/>
      </c>
      <c r="G61" s="23">
        <f>IF(INDEX(Positions!$B$6:$B$35,INT((ROW()-5)/2)+1)="","",IF(MOD(ROW()-5,2)=0,INDEX(Positions!$F$6:$F$35,INT((ROW()-5)/2)+1),INDEX(Positions!$J$6:$J$35,INT((ROW()-5)/2)+1)))</f>
        <v/>
      </c>
      <c r="H61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61" s="22">
        <f>0</f>
        <v/>
      </c>
      <c r="J61" s="23">
        <f>IF(INDEX(Positions!$B$6:$B$35,INT((ROW()-5)/2)+1)="","",IF(MOD(ROW()-5,2)=0,0,INDEX(Positions!$K$6:$K$35,INT((ROW()-5)/2)+1)))</f>
        <v/>
      </c>
      <c r="K61" s="23">
        <f>IF(INDEX(Positions!$B$6:$B$35,INT((ROW()-5)/2)+1)="","",IF(MOD(ROW()-5,2)=0,0,INDEX(Positions!$X$6:$X$35,INT((ROW()-5)/2)+1)))</f>
        <v/>
      </c>
      <c r="L61" s="23">
        <f>IF(INDEX(Positions!$B$6:$B$35,INT((ROW()-5)/2)+1)="","",IF(MOD(ROW()-5,2)=0,0,INDEX(Positions!$L$6:$L$35,INT((ROW()-5)/2)+1)))</f>
        <v/>
      </c>
      <c r="M61" s="23">
        <f>IF(INDEX(Positions!$B$6:$B$35,INT((ROW()-5)/2)+1)="","",IF(MOD(ROW()-5,2)=0,0,INDEX(Positions!$M$6:$M$35,INT((ROW()-5)/2)+1)))</f>
        <v/>
      </c>
      <c r="N61" s="23">
        <f>IF(INDEX(Positions!$B$6:$B$35,INT((ROW()-5)/2)+1)="","",IF(MOD(ROW()-5,2)=0,INDEX(Positions!$Z$6:$Z$35,INT((ROW()-5)/2)+1),INDEX(Positions!$AA$6:$AA$35,INT((ROW()-5)/2)+1)))</f>
        <v/>
      </c>
      <c r="O61" s="22">
        <f>IF(INDEX(Positions!$B$6:$B$35,INT((ROW()-5)/2)+1)="","",IF(MOD(ROW()-5,2)=0,INDEX(Positions!$V$6:$V$35,INT((ROW()-5)/2)+1),INDEX(Positions!$W$6:$W$35,INT((ROW()-5)/2)+1)))</f>
        <v/>
      </c>
    </row>
    <row r="62">
      <c r="A62" s="21">
        <f>IF(INDEX(Positions!$B$6:$B$35,INT((ROW()-5)/2)+1)="","",IF(MOD(ROW()-5,2)=0,INDEX(Positions!$A$6:$A$35,INT((ROW()-5)/2)+1),INDEX(Positions!$I$6:$I$35,INT((ROW()-5)/2)+1)))</f>
        <v/>
      </c>
      <c r="B62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62" s="22">
        <f>IF(INDEX(Positions!$B$6:$B$35,INT((ROW()-5)/2)+1)="","",INDEX(Positions!$C$6:$C$35,INT((ROW()-5)/2)+1))</f>
        <v/>
      </c>
      <c r="D62" s="22">
        <f>IF(INDEX(Positions!$B$6:$B$35,INT((ROW()-5)/2)+1)="","",IF(MOD(ROW()-5,2)=0,INDEX(Positions!$D$6:$D$35,INT((ROW()-5)/2)+1),IF(INDEX(Positions!$D$6:$D$35,INT((ROW()-5)/2)+1)="buy","sell","buy")))</f>
        <v/>
      </c>
      <c r="E62" s="22">
        <f>IF(INDEX(Positions!$B$6:$B$35,INT((ROW()-5)/2)+1)="","",IF(MOD(ROW()-5,2)=0,"in","out"))</f>
        <v/>
      </c>
      <c r="F62" s="23">
        <f>IF(INDEX(Positions!$B$6:$B$35,INT((ROW()-5)/2)+1)="","",INDEX(Positions!$E$6:$E$35,INT((ROW()-5)/2)+1))</f>
        <v/>
      </c>
      <c r="G62" s="23">
        <f>IF(INDEX(Positions!$B$6:$B$35,INT((ROW()-5)/2)+1)="","",IF(MOD(ROW()-5,2)=0,INDEX(Positions!$F$6:$F$35,INT((ROW()-5)/2)+1),INDEX(Positions!$J$6:$J$35,INT((ROW()-5)/2)+1)))</f>
        <v/>
      </c>
      <c r="H62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62" s="22">
        <f>0</f>
        <v/>
      </c>
      <c r="J62" s="23">
        <f>IF(INDEX(Positions!$B$6:$B$35,INT((ROW()-5)/2)+1)="","",IF(MOD(ROW()-5,2)=0,0,INDEX(Positions!$K$6:$K$35,INT((ROW()-5)/2)+1)))</f>
        <v/>
      </c>
      <c r="K62" s="23">
        <f>IF(INDEX(Positions!$B$6:$B$35,INT((ROW()-5)/2)+1)="","",IF(MOD(ROW()-5,2)=0,0,INDEX(Positions!$X$6:$X$35,INT((ROW()-5)/2)+1)))</f>
        <v/>
      </c>
      <c r="L62" s="23">
        <f>IF(INDEX(Positions!$B$6:$B$35,INT((ROW()-5)/2)+1)="","",IF(MOD(ROW()-5,2)=0,0,INDEX(Positions!$L$6:$L$35,INT((ROW()-5)/2)+1)))</f>
        <v/>
      </c>
      <c r="M62" s="23">
        <f>IF(INDEX(Positions!$B$6:$B$35,INT((ROW()-5)/2)+1)="","",IF(MOD(ROW()-5,2)=0,0,INDEX(Positions!$M$6:$M$35,INT((ROW()-5)/2)+1)))</f>
        <v/>
      </c>
      <c r="N62" s="23">
        <f>IF(INDEX(Positions!$B$6:$B$35,INT((ROW()-5)/2)+1)="","",IF(MOD(ROW()-5,2)=0,INDEX(Positions!$Z$6:$Z$35,INT((ROW()-5)/2)+1),INDEX(Positions!$AA$6:$AA$35,INT((ROW()-5)/2)+1)))</f>
        <v/>
      </c>
      <c r="O62" s="22">
        <f>IF(INDEX(Positions!$B$6:$B$35,INT((ROW()-5)/2)+1)="","",IF(MOD(ROW()-5,2)=0,INDEX(Positions!$V$6:$V$35,INT((ROW()-5)/2)+1),INDEX(Positions!$W$6:$W$35,INT((ROW()-5)/2)+1)))</f>
        <v/>
      </c>
    </row>
    <row r="63">
      <c r="A63" s="21">
        <f>IF(INDEX(Positions!$B$6:$B$35,INT((ROW()-5)/2)+1)="","",IF(MOD(ROW()-5,2)=0,INDEX(Positions!$A$6:$A$35,INT((ROW()-5)/2)+1),INDEX(Positions!$I$6:$I$35,INT((ROW()-5)/2)+1)))</f>
        <v/>
      </c>
      <c r="B63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63" s="22">
        <f>IF(INDEX(Positions!$B$6:$B$35,INT((ROW()-5)/2)+1)="","",INDEX(Positions!$C$6:$C$35,INT((ROW()-5)/2)+1))</f>
        <v/>
      </c>
      <c r="D63" s="22">
        <f>IF(INDEX(Positions!$B$6:$B$35,INT((ROW()-5)/2)+1)="","",IF(MOD(ROW()-5,2)=0,INDEX(Positions!$D$6:$D$35,INT((ROW()-5)/2)+1),IF(INDEX(Positions!$D$6:$D$35,INT((ROW()-5)/2)+1)="buy","sell","buy")))</f>
        <v/>
      </c>
      <c r="E63" s="22">
        <f>IF(INDEX(Positions!$B$6:$B$35,INT((ROW()-5)/2)+1)="","",IF(MOD(ROW()-5,2)=0,"in","out"))</f>
        <v/>
      </c>
      <c r="F63" s="23">
        <f>IF(INDEX(Positions!$B$6:$B$35,INT((ROW()-5)/2)+1)="","",INDEX(Positions!$E$6:$E$35,INT((ROW()-5)/2)+1))</f>
        <v/>
      </c>
      <c r="G63" s="23">
        <f>IF(INDEX(Positions!$B$6:$B$35,INT((ROW()-5)/2)+1)="","",IF(MOD(ROW()-5,2)=0,INDEX(Positions!$F$6:$F$35,INT((ROW()-5)/2)+1),INDEX(Positions!$J$6:$J$35,INT((ROW()-5)/2)+1)))</f>
        <v/>
      </c>
      <c r="H63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63" s="22">
        <f>0</f>
        <v/>
      </c>
      <c r="J63" s="23">
        <f>IF(INDEX(Positions!$B$6:$B$35,INT((ROW()-5)/2)+1)="","",IF(MOD(ROW()-5,2)=0,0,INDEX(Positions!$K$6:$K$35,INT((ROW()-5)/2)+1)))</f>
        <v/>
      </c>
      <c r="K63" s="23">
        <f>IF(INDEX(Positions!$B$6:$B$35,INT((ROW()-5)/2)+1)="","",IF(MOD(ROW()-5,2)=0,0,INDEX(Positions!$X$6:$X$35,INT((ROW()-5)/2)+1)))</f>
        <v/>
      </c>
      <c r="L63" s="23">
        <f>IF(INDEX(Positions!$B$6:$B$35,INT((ROW()-5)/2)+1)="","",IF(MOD(ROW()-5,2)=0,0,INDEX(Positions!$L$6:$L$35,INT((ROW()-5)/2)+1)))</f>
        <v/>
      </c>
      <c r="M63" s="23">
        <f>IF(INDEX(Positions!$B$6:$B$35,INT((ROW()-5)/2)+1)="","",IF(MOD(ROW()-5,2)=0,0,INDEX(Positions!$M$6:$M$35,INT((ROW()-5)/2)+1)))</f>
        <v/>
      </c>
      <c r="N63" s="23">
        <f>IF(INDEX(Positions!$B$6:$B$35,INT((ROW()-5)/2)+1)="","",IF(MOD(ROW()-5,2)=0,INDEX(Positions!$Z$6:$Z$35,INT((ROW()-5)/2)+1),INDEX(Positions!$AA$6:$AA$35,INT((ROW()-5)/2)+1)))</f>
        <v/>
      </c>
      <c r="O63" s="22">
        <f>IF(INDEX(Positions!$B$6:$B$35,INT((ROW()-5)/2)+1)="","",IF(MOD(ROW()-5,2)=0,INDEX(Positions!$V$6:$V$35,INT((ROW()-5)/2)+1),INDEX(Positions!$W$6:$W$35,INT((ROW()-5)/2)+1)))</f>
        <v/>
      </c>
    </row>
    <row r="64">
      <c r="A64" s="21">
        <f>IF(INDEX(Positions!$B$6:$B$35,INT((ROW()-5)/2)+1)="","",IF(MOD(ROW()-5,2)=0,INDEX(Positions!$A$6:$A$35,INT((ROW()-5)/2)+1),INDEX(Positions!$I$6:$I$35,INT((ROW()-5)/2)+1)))</f>
        <v/>
      </c>
      <c r="B64" s="22">
        <f>IF(INDEX(Positions!$B$6:$B$35,INT((ROW()-5)/2)+1)="","",IF(MOD(ROW()-5,2)=0,IF(INDEX(Positions!$P$6:$P$35,INT((ROW()-5)/2)+1)="",INDEX(Positions!$B$6:$B$35,INT((ROW()-5)/2)+1)&amp;"11",INDEX(Positions!$P$6:$P$35,INT((ROW()-5)/2)+1)),IF(INDEX(Positions!$Q$6:$Q$35,INT((ROW()-5)/2)+1)="",INDEX(Positions!$B$6:$B$35,INT((ROW()-5)/2)+1)&amp;"12",INDEX(Positions!$Q$6:$Q$35,INT((ROW()-5)/2)+1))))</f>
        <v/>
      </c>
      <c r="C64" s="22">
        <f>IF(INDEX(Positions!$B$6:$B$35,INT((ROW()-5)/2)+1)="","",INDEX(Positions!$C$6:$C$35,INT((ROW()-5)/2)+1))</f>
        <v/>
      </c>
      <c r="D64" s="22">
        <f>IF(INDEX(Positions!$B$6:$B$35,INT((ROW()-5)/2)+1)="","",IF(MOD(ROW()-5,2)=0,INDEX(Positions!$D$6:$D$35,INT((ROW()-5)/2)+1),IF(INDEX(Positions!$D$6:$D$35,INT((ROW()-5)/2)+1)="buy","sell","buy")))</f>
        <v/>
      </c>
      <c r="E64" s="22">
        <f>IF(INDEX(Positions!$B$6:$B$35,INT((ROW()-5)/2)+1)="","",IF(MOD(ROW()-5,2)=0,"in","out"))</f>
        <v/>
      </c>
      <c r="F64" s="23">
        <f>IF(INDEX(Positions!$B$6:$B$35,INT((ROW()-5)/2)+1)="","",INDEX(Positions!$E$6:$E$35,INT((ROW()-5)/2)+1))</f>
        <v/>
      </c>
      <c r="G64" s="23">
        <f>IF(INDEX(Positions!$B$6:$B$35,INT((ROW()-5)/2)+1)="","",IF(MOD(ROW()-5,2)=0,INDEX(Positions!$F$6:$F$35,INT((ROW()-5)/2)+1),INDEX(Positions!$J$6:$J$35,INT((ROW()-5)/2)+1)))</f>
        <v/>
      </c>
      <c r="H64" s="22">
        <f>IF(INDEX(Positions!$B$6:$B$35,INT((ROW()-5)/2)+1)="","",IF(MOD(ROW()-5,2)=0,IF(INDEX(Positions!$N$6:$N$35,INT((ROW()-5)/2)+1)="",INDEX(Positions!$B$6:$B$35,INT((ROW()-5)/2)+1)&amp;"01",INDEX(Positions!$N$6:$N$35,INT((ROW()-5)/2)+1)),IF(INDEX(Positions!$O$6:$O$35,INT((ROW()-5)/2)+1)="",INDEX(Positions!$B$6:$B$35,INT((ROW()-5)/2)+1)&amp;"02",INDEX(Positions!$O$6:$O$35,INT((ROW()-5)/2)+1))))</f>
        <v/>
      </c>
      <c r="I64" s="22">
        <f>0</f>
        <v/>
      </c>
      <c r="J64" s="23">
        <f>IF(INDEX(Positions!$B$6:$B$35,INT((ROW()-5)/2)+1)="","",IF(MOD(ROW()-5,2)=0,0,INDEX(Positions!$K$6:$K$35,INT((ROW()-5)/2)+1)))</f>
        <v/>
      </c>
      <c r="K64" s="23">
        <f>IF(INDEX(Positions!$B$6:$B$35,INT((ROW()-5)/2)+1)="","",IF(MOD(ROW()-5,2)=0,0,INDEX(Positions!$X$6:$X$35,INT((ROW()-5)/2)+1)))</f>
        <v/>
      </c>
      <c r="L64" s="23">
        <f>IF(INDEX(Positions!$B$6:$B$35,INT((ROW()-5)/2)+1)="","",IF(MOD(ROW()-5,2)=0,0,INDEX(Positions!$L$6:$L$35,INT((ROW()-5)/2)+1)))</f>
        <v/>
      </c>
      <c r="M64" s="23">
        <f>IF(INDEX(Positions!$B$6:$B$35,INT((ROW()-5)/2)+1)="","",IF(MOD(ROW()-5,2)=0,0,INDEX(Positions!$M$6:$M$35,INT((ROW()-5)/2)+1)))</f>
        <v/>
      </c>
      <c r="N64" s="23">
        <f>IF(INDEX(Positions!$B$6:$B$35,INT((ROW()-5)/2)+1)="","",IF(MOD(ROW()-5,2)=0,INDEX(Positions!$Z$6:$Z$35,INT((ROW()-5)/2)+1),INDEX(Positions!$AA$6:$AA$35,INT((ROW()-5)/2)+1)))</f>
        <v/>
      </c>
      <c r="O64" s="22">
        <f>IF(INDEX(Positions!$B$6:$B$35,INT((ROW()-5)/2)+1)="","",IF(MOD(ROW()-5,2)=0,INDEX(Positions!$V$6:$V$35,INT((ROW()-5)/2)+1),INDEX(Positions!$W$6:$W$35,INT((ROW()-5)/2)+1)))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Reference formulas used</t>
        </is>
      </c>
    </row>
    <row r="3">
      <c r="A3" s="6" t="inlineStr">
        <is>
          <t>Item</t>
        </is>
      </c>
      <c r="B3" s="6" t="inlineStr">
        <is>
          <t>Excel Logic</t>
        </is>
      </c>
    </row>
    <row r="4">
      <c r="A4" s="22" t="inlineStr">
        <is>
          <t>Net P/L per position</t>
        </is>
      </c>
      <c r="B4" s="22" t="inlineStr">
        <is>
          <t>Profit + Commission + Swap - Fee</t>
        </is>
      </c>
    </row>
    <row r="5">
      <c r="A5" s="22" t="inlineStr">
        <is>
          <t>Balance Before</t>
        </is>
      </c>
      <c r="B5" s="22" t="inlineStr">
        <is>
          <t>First trade = Start Balance + Deposits - Withdrawals; next rows = previous Balance After</t>
        </is>
      </c>
    </row>
    <row r="6">
      <c r="A6" s="22" t="inlineStr">
        <is>
          <t>Balance After</t>
        </is>
      </c>
      <c r="B6" s="22" t="inlineStr">
        <is>
          <t>Balance Before + Net P/L</t>
        </is>
      </c>
    </row>
    <row r="7">
      <c r="A7" s="22" t="inlineStr">
        <is>
          <t>Balance</t>
        </is>
      </c>
      <c r="B7" s="22" t="inlineStr">
        <is>
          <t>Start Balance + Deposits - Withdrawals + SUM(Net P/L)</t>
        </is>
      </c>
    </row>
    <row r="8">
      <c r="A8" s="22" t="inlineStr">
        <is>
          <t>Equity</t>
        </is>
      </c>
      <c r="B8" s="22" t="inlineStr">
        <is>
          <t>Balance + Credit Facility + Floating P/L</t>
        </is>
      </c>
    </row>
    <row r="9">
      <c r="A9" s="22" t="inlineStr">
        <is>
          <t>Free Margin</t>
        </is>
      </c>
      <c r="B9" s="22" t="inlineStr">
        <is>
          <t>Equity - Margin</t>
        </is>
      </c>
    </row>
    <row r="10">
      <c r="A10" s="22" t="inlineStr">
        <is>
          <t>Margin Level</t>
        </is>
      </c>
      <c r="B10" s="22" t="inlineStr">
        <is>
          <t>IF(Margin=0,0,Equity/Margin)</t>
        </is>
      </c>
    </row>
    <row r="11">
      <c r="A11" s="22" t="inlineStr">
        <is>
          <t>Gross Profit</t>
        </is>
      </c>
      <c r="B11" s="22" t="inlineStr">
        <is>
          <t>SUMIF(Net P/L,"&gt;0")</t>
        </is>
      </c>
    </row>
    <row r="12">
      <c r="A12" s="22" t="inlineStr">
        <is>
          <t>Gross Loss</t>
        </is>
      </c>
      <c r="B12" s="22" t="inlineStr">
        <is>
          <t>SUMIF(Net P/L,"&lt;0")</t>
        </is>
      </c>
    </row>
    <row r="13">
      <c r="A13" s="22" t="inlineStr">
        <is>
          <t>Profit Factor</t>
        </is>
      </c>
      <c r="B13" s="22" t="inlineStr">
        <is>
          <t>Gross Profit / ABS(Gross Loss)</t>
        </is>
      </c>
    </row>
    <row r="14">
      <c r="A14" s="22" t="inlineStr">
        <is>
          <t>Expected Payoff</t>
        </is>
      </c>
      <c r="B14" s="22" t="inlineStr">
        <is>
          <t>Total Net Profit / Total Trades</t>
        </is>
      </c>
    </row>
    <row r="15">
      <c r="A15" s="22" t="inlineStr">
        <is>
          <t>Recovery Factor</t>
        </is>
      </c>
      <c r="B15" s="22" t="inlineStr">
        <is>
          <t>Total Net Profit / ABS(Maximal Drawdown)</t>
        </is>
      </c>
    </row>
    <row r="16">
      <c r="A16" s="22" t="inlineStr">
        <is>
          <t>Maximal Drawdown</t>
        </is>
      </c>
      <c r="B16" s="22" t="inlineStr">
        <is>
          <t>MAX(Peak Balance - Balance After)</t>
        </is>
      </c>
    </row>
    <row r="17">
      <c r="A17" s="22" t="inlineStr">
        <is>
          <t>Relative Drawdown</t>
        </is>
      </c>
      <c r="B17" s="22" t="inlineStr">
        <is>
          <t>MAX((Peak Balance - Balance After)/Peak Balance)</t>
        </is>
      </c>
    </row>
    <row r="18">
      <c r="A18" s="22" t="inlineStr">
        <is>
          <t>Short/Long won %</t>
        </is>
      </c>
      <c r="B18" s="22" t="inlineStr">
        <is>
          <t>COUNTIFS(Type, side, Net P/L,"&gt;0") / COUNTIF(Type, side)</t>
        </is>
      </c>
    </row>
    <row r="19">
      <c r="A19" s="22" t="inlineStr">
        <is>
          <t>Consecutive wins/losses</t>
        </is>
      </c>
      <c r="B19" s="22" t="inlineStr">
        <is>
          <t>Helper columns AK:AN on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2026-03-06T03:50:06Z</dcterms:created>
  <dcterms:modified xmlns:dcterms="http://purl.org/dc/terms/" xmlns:xsi="http://www.w3.org/2001/XMLSchema-instance" xsi:type="dcterms:W3CDTF">2026-03-06T03:50:06Z</dcterms:modified>
</cp:coreProperties>
</file>